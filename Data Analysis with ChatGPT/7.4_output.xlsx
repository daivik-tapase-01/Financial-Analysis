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7 - Date and Time/Output/"/>
    </mc:Choice>
  </mc:AlternateContent>
  <xr:revisionPtr revIDLastSave="0" documentId="8_{FE9A7C6B-E5E4-4E05-B03B-A95B713C2E8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O7" i="1"/>
  <c r="O6" i="1"/>
  <c r="O5" i="1"/>
  <c r="O4" i="1"/>
  <c r="O3" i="1"/>
  <c r="O2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<sst xmlns="http://schemas.openxmlformats.org/spreadsheetml/2006/main" count="217" uniqueCount="83">
  <si>
    <t>Order Number</t>
  </si>
  <si>
    <t>Order Received Date</t>
  </si>
  <si>
    <t>PRODUCT TYPE</t>
  </si>
  <si>
    <t>PRODUCT CATEGORY</t>
  </si>
  <si>
    <t>Country</t>
  </si>
  <si>
    <t>Price</t>
  </si>
  <si>
    <t>Target Delivery Date</t>
  </si>
  <si>
    <t>Latest target date confirmed by factory</t>
  </si>
  <si>
    <t>wk [1]</t>
  </si>
  <si>
    <t>Production plant</t>
  </si>
  <si>
    <t>Delivery date confirmed to customer</t>
  </si>
  <si>
    <t>Delay informed to customer</t>
  </si>
  <si>
    <t>Workdays</t>
  </si>
  <si>
    <t>NN018658</t>
  </si>
  <si>
    <t>NN018660</t>
  </si>
  <si>
    <t>NN019144</t>
  </si>
  <si>
    <t>NN019146</t>
  </si>
  <si>
    <t>NN019312</t>
  </si>
  <si>
    <t>NN019322</t>
  </si>
  <si>
    <t>NN019328</t>
  </si>
  <si>
    <t>NN019496</t>
  </si>
  <si>
    <t>NN019590</t>
  </si>
  <si>
    <t>NN019608</t>
  </si>
  <si>
    <t>NN019836</t>
  </si>
  <si>
    <t>NN019864</t>
  </si>
  <si>
    <t>NN019866</t>
  </si>
  <si>
    <t>NN019178</t>
  </si>
  <si>
    <t>NN019168</t>
  </si>
  <si>
    <t>NN018178</t>
  </si>
  <si>
    <t>NN019980</t>
  </si>
  <si>
    <t>NN0</t>
  </si>
  <si>
    <t>NN019282</t>
  </si>
  <si>
    <t>NN019284</t>
  </si>
  <si>
    <t>NN019454</t>
  </si>
  <si>
    <t>NN017247</t>
  </si>
  <si>
    <t>NN020052</t>
  </si>
  <si>
    <t>NN020088</t>
  </si>
  <si>
    <t>NN016779</t>
  </si>
  <si>
    <t>NN016780</t>
  </si>
  <si>
    <t>NN012298</t>
  </si>
  <si>
    <t>NN020190</t>
  </si>
  <si>
    <t>NN020238</t>
  </si>
  <si>
    <t>NN020270</t>
  </si>
  <si>
    <t>NN020286</t>
  </si>
  <si>
    <t>NN020290</t>
  </si>
  <si>
    <t>NN020292</t>
  </si>
  <si>
    <t>NN020294</t>
  </si>
  <si>
    <t>NN020318</t>
  </si>
  <si>
    <t>NN015506</t>
  </si>
  <si>
    <t>NN020334</t>
  </si>
  <si>
    <t>SA219</t>
  </si>
  <si>
    <t>B600</t>
  </si>
  <si>
    <t>B761</t>
  </si>
  <si>
    <t>B760</t>
  </si>
  <si>
    <t>A470</t>
  </si>
  <si>
    <t>C290</t>
  </si>
  <si>
    <t>B471</t>
  </si>
  <si>
    <t>Z1075</t>
  </si>
  <si>
    <t>G2130</t>
  </si>
  <si>
    <t>B730</t>
  </si>
  <si>
    <t>Z1030</t>
  </si>
  <si>
    <t>Z1032</t>
  </si>
  <si>
    <t>B930</t>
  </si>
  <si>
    <t>Z1480</t>
  </si>
  <si>
    <t>SA82</t>
  </si>
  <si>
    <t>A450</t>
  </si>
  <si>
    <t>Special</t>
  </si>
  <si>
    <t>Large</t>
  </si>
  <si>
    <t>Medium</t>
  </si>
  <si>
    <t>INDIA</t>
  </si>
  <si>
    <t>FRANCE</t>
  </si>
  <si>
    <t>POLAND</t>
  </si>
  <si>
    <t>United States</t>
  </si>
  <si>
    <t>BRAZIL</t>
  </si>
  <si>
    <t>INDONESIA</t>
  </si>
  <si>
    <t>ITALY</t>
  </si>
  <si>
    <t>NIGER</t>
  </si>
  <si>
    <t>SPAIN</t>
  </si>
  <si>
    <t>GERMANY</t>
  </si>
  <si>
    <t>FINLAND</t>
  </si>
  <si>
    <t>BELGIUM</t>
  </si>
  <si>
    <t>Austin</t>
  </si>
  <si>
    <t>Pittsburgh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</si>
</sst>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activeCell="N6" sqref="N6"/>
    </sheetView>
  </sheetViews>
  <sheetFormatPr defaultRowHeight="15" x14ac:dyDescent="0.25"/>
  <cols>
    <col min="11" max="11" width="34.28515625" bestFit="1" customWidth="1"/>
    <col min="12" max="12" width="26.28515625" bestFit="1" customWidth="1"/>
    <col min="14" max="14" width="10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25">
      <c r="A2" t="s">
        <v>13</v>
      </c>
      <c r="B2" s="2">
        <v>44225</v>
      </c>
      <c r="C2" t="s">
        <v>50</v>
      </c>
      <c r="D2" t="s">
        <v>66</v>
      </c>
      <c r="E2" t="s">
        <v>69</v>
      </c>
      <c r="F2">
        <v>172788.42857142861</v>
      </c>
      <c r="G2" s="2">
        <v>44736</v>
      </c>
      <c r="J2" t="s">
        <v>81</v>
      </c>
      <c r="K2" s="2">
        <v>44736</v>
      </c>
      <c r="L2" s="2">
        <v>44273</v>
      </c>
      <c r="M2">
        <v>365</v>
      </c>
      <c r="N2" s="3">
        <f>WORKDAY(L2,M2)</f>
        <v>44784</v>
      </c>
      <c r="O2">
        <f>N2-K2</f>
        <v>48</v>
      </c>
    </row>
    <row r="3" spans="1:15" x14ac:dyDescent="0.25">
      <c r="A3" t="s">
        <v>14</v>
      </c>
      <c r="B3" s="2">
        <v>44225</v>
      </c>
      <c r="C3" t="s">
        <v>50</v>
      </c>
      <c r="D3" t="s">
        <v>66</v>
      </c>
      <c r="E3" t="s">
        <v>69</v>
      </c>
      <c r="F3">
        <v>172788.42857142861</v>
      </c>
      <c r="G3" s="2">
        <v>44750</v>
      </c>
      <c r="J3" t="s">
        <v>81</v>
      </c>
      <c r="K3" s="2">
        <v>44750</v>
      </c>
      <c r="L3" s="2">
        <v>44273</v>
      </c>
      <c r="M3">
        <v>375</v>
      </c>
      <c r="N3" s="3">
        <f t="shared" ref="N3:N8" si="0">WORKDAY(L3,M3)</f>
        <v>44798</v>
      </c>
      <c r="O3">
        <f t="shared" ref="O3:O8" si="1">N3-K3</f>
        <v>48</v>
      </c>
    </row>
    <row r="4" spans="1:15" x14ac:dyDescent="0.25">
      <c r="A4" t="s">
        <v>15</v>
      </c>
      <c r="B4" s="2">
        <v>44276</v>
      </c>
      <c r="C4" t="s">
        <v>51</v>
      </c>
      <c r="D4" t="s">
        <v>67</v>
      </c>
      <c r="E4" t="s">
        <v>70</v>
      </c>
      <c r="F4">
        <v>57783.368571428568</v>
      </c>
      <c r="G4" s="2">
        <v>44433</v>
      </c>
      <c r="J4" t="s">
        <v>81</v>
      </c>
      <c r="K4" s="2">
        <v>44432</v>
      </c>
      <c r="L4" s="2">
        <v>44347</v>
      </c>
      <c r="M4">
        <v>112</v>
      </c>
      <c r="N4" s="3">
        <f t="shared" si="0"/>
        <v>44503</v>
      </c>
      <c r="O4">
        <f t="shared" si="1"/>
        <v>71</v>
      </c>
    </row>
    <row r="5" spans="1:15" x14ac:dyDescent="0.25">
      <c r="A5" t="s">
        <v>16</v>
      </c>
      <c r="B5" s="2">
        <v>44276</v>
      </c>
      <c r="C5" t="s">
        <v>51</v>
      </c>
      <c r="D5" t="s">
        <v>67</v>
      </c>
      <c r="E5" t="s">
        <v>70</v>
      </c>
      <c r="F5">
        <v>57783.368571428568</v>
      </c>
      <c r="G5" s="2">
        <v>44433</v>
      </c>
      <c r="J5" t="s">
        <v>81</v>
      </c>
      <c r="K5" s="2">
        <v>44468</v>
      </c>
      <c r="L5" s="2">
        <v>44347</v>
      </c>
      <c r="M5">
        <v>112</v>
      </c>
      <c r="N5" s="3">
        <f t="shared" si="0"/>
        <v>44503</v>
      </c>
      <c r="O5">
        <f t="shared" si="1"/>
        <v>35</v>
      </c>
    </row>
    <row r="6" spans="1:15" x14ac:dyDescent="0.25">
      <c r="A6" t="s">
        <v>17</v>
      </c>
      <c r="B6" s="2">
        <v>44286</v>
      </c>
      <c r="C6" t="s">
        <v>52</v>
      </c>
      <c r="D6" t="s">
        <v>67</v>
      </c>
      <c r="E6" t="s">
        <v>71</v>
      </c>
      <c r="F6">
        <v>45762.512142857136</v>
      </c>
      <c r="G6" s="2">
        <v>44503</v>
      </c>
      <c r="J6" t="s">
        <v>81</v>
      </c>
      <c r="K6" s="2">
        <v>44503</v>
      </c>
      <c r="L6" s="2">
        <v>44507</v>
      </c>
      <c r="M6">
        <v>155</v>
      </c>
      <c r="N6" s="3">
        <f t="shared" si="0"/>
        <v>44722</v>
      </c>
      <c r="O6">
        <f t="shared" si="1"/>
        <v>219</v>
      </c>
    </row>
    <row r="7" spans="1:15" x14ac:dyDescent="0.25">
      <c r="A7" t="s">
        <v>18</v>
      </c>
      <c r="B7" s="2">
        <v>44286</v>
      </c>
      <c r="C7" t="s">
        <v>53</v>
      </c>
      <c r="D7" t="s">
        <v>67</v>
      </c>
      <c r="E7" t="s">
        <v>71</v>
      </c>
      <c r="F7">
        <v>46343.912142857138</v>
      </c>
      <c r="G7" s="2">
        <v>44517</v>
      </c>
      <c r="J7" t="s">
        <v>81</v>
      </c>
      <c r="K7" s="2">
        <v>44572</v>
      </c>
      <c r="L7" s="2">
        <v>44565</v>
      </c>
      <c r="M7">
        <v>165</v>
      </c>
      <c r="N7" s="3">
        <f t="shared" si="0"/>
        <v>44796</v>
      </c>
      <c r="O7">
        <f t="shared" si="1"/>
        <v>224</v>
      </c>
    </row>
    <row r="8" spans="1:15" x14ac:dyDescent="0.25">
      <c r="A8" t="s">
        <v>19</v>
      </c>
      <c r="B8" s="2">
        <v>44286</v>
      </c>
      <c r="C8" t="s">
        <v>51</v>
      </c>
      <c r="D8" t="s">
        <v>67</v>
      </c>
      <c r="E8" t="s">
        <v>71</v>
      </c>
      <c r="F8">
        <v>42553.28571428571</v>
      </c>
      <c r="G8" s="2">
        <v>44552</v>
      </c>
      <c r="J8" t="s">
        <v>81</v>
      </c>
      <c r="K8" s="2">
        <v>44551</v>
      </c>
      <c r="L8" s="2">
        <v>44538</v>
      </c>
      <c r="M8">
        <v>190</v>
      </c>
      <c r="N8" s="3">
        <f t="shared" si="0"/>
        <v>44804</v>
      </c>
      <c r="O8">
        <f t="shared" si="1"/>
        <v>253</v>
      </c>
    </row>
    <row r="9" spans="1:15" x14ac:dyDescent="0.25">
      <c r="A9" t="s">
        <v>20</v>
      </c>
      <c r="B9" s="2">
        <v>44292</v>
      </c>
      <c r="C9" t="s">
        <v>54</v>
      </c>
      <c r="D9" t="s">
        <v>67</v>
      </c>
      <c r="E9" t="s">
        <v>70</v>
      </c>
      <c r="F9">
        <v>46574.440714285724</v>
      </c>
      <c r="G9" s="2">
        <v>44496</v>
      </c>
      <c r="J9" t="s">
        <v>81</v>
      </c>
      <c r="K9" s="2">
        <v>44496</v>
      </c>
      <c r="L9" s="2">
        <v>44471</v>
      </c>
      <c r="M9">
        <v>146</v>
      </c>
    </row>
    <row r="10" spans="1:15" x14ac:dyDescent="0.25">
      <c r="A10" t="s">
        <v>21</v>
      </c>
      <c r="B10" s="2">
        <v>44299</v>
      </c>
      <c r="C10" t="s">
        <v>55</v>
      </c>
      <c r="D10" t="s">
        <v>68</v>
      </c>
      <c r="E10" t="s">
        <v>70</v>
      </c>
      <c r="F10">
        <v>27925.22571428572</v>
      </c>
      <c r="G10" s="2">
        <v>44510</v>
      </c>
      <c r="J10" t="s">
        <v>82</v>
      </c>
      <c r="K10" s="2">
        <v>44510</v>
      </c>
      <c r="L10" s="2">
        <v>44507</v>
      </c>
      <c r="M10">
        <v>151</v>
      </c>
    </row>
    <row r="11" spans="1:15" x14ac:dyDescent="0.25">
      <c r="A11" t="s">
        <v>21</v>
      </c>
      <c r="B11" s="2">
        <v>44308</v>
      </c>
      <c r="C11" t="s">
        <v>56</v>
      </c>
      <c r="D11" t="s">
        <v>67</v>
      </c>
      <c r="E11" t="s">
        <v>72</v>
      </c>
      <c r="F11">
        <v>0</v>
      </c>
      <c r="G11" s="2">
        <v>44554</v>
      </c>
      <c r="J11" t="s">
        <v>82</v>
      </c>
      <c r="K11" s="2">
        <v>44554</v>
      </c>
      <c r="L11" s="2">
        <v>44398</v>
      </c>
      <c r="M11">
        <v>176</v>
      </c>
    </row>
    <row r="12" spans="1:15" x14ac:dyDescent="0.25">
      <c r="A12" t="s">
        <v>21</v>
      </c>
      <c r="B12" s="2">
        <v>44308</v>
      </c>
      <c r="C12" t="s">
        <v>56</v>
      </c>
      <c r="D12" t="s">
        <v>67</v>
      </c>
      <c r="E12" t="s">
        <v>72</v>
      </c>
      <c r="F12">
        <v>0</v>
      </c>
      <c r="G12" s="2">
        <v>44575</v>
      </c>
      <c r="J12" t="s">
        <v>82</v>
      </c>
      <c r="K12" s="2">
        <v>44574</v>
      </c>
      <c r="L12" s="2">
        <v>44417</v>
      </c>
      <c r="M12">
        <v>191</v>
      </c>
    </row>
    <row r="13" spans="1:15" x14ac:dyDescent="0.25">
      <c r="A13" t="s">
        <v>21</v>
      </c>
      <c r="B13" s="2">
        <v>44308</v>
      </c>
      <c r="C13" t="s">
        <v>56</v>
      </c>
      <c r="D13" t="s">
        <v>67</v>
      </c>
      <c r="E13" t="s">
        <v>72</v>
      </c>
      <c r="F13">
        <v>0</v>
      </c>
      <c r="G13" s="2">
        <v>44575</v>
      </c>
      <c r="J13" t="s">
        <v>82</v>
      </c>
      <c r="K13" s="2">
        <v>44575</v>
      </c>
      <c r="L13" s="2">
        <v>44398</v>
      </c>
      <c r="M13">
        <v>191</v>
      </c>
    </row>
    <row r="14" spans="1:15" x14ac:dyDescent="0.25">
      <c r="A14" t="s">
        <v>22</v>
      </c>
      <c r="B14" s="2">
        <v>44299</v>
      </c>
      <c r="C14" t="s">
        <v>57</v>
      </c>
      <c r="D14" t="s">
        <v>67</v>
      </c>
      <c r="E14" t="s">
        <v>73</v>
      </c>
      <c r="F14">
        <v>111945.3107142857</v>
      </c>
      <c r="G14" s="2">
        <v>44524</v>
      </c>
      <c r="J14" t="s">
        <v>82</v>
      </c>
      <c r="K14" s="2">
        <v>44524</v>
      </c>
      <c r="L14" s="2">
        <v>44389</v>
      </c>
      <c r="M14">
        <v>161</v>
      </c>
    </row>
    <row r="15" spans="1:15" x14ac:dyDescent="0.25">
      <c r="A15" t="s">
        <v>23</v>
      </c>
      <c r="B15" s="2">
        <v>44319</v>
      </c>
      <c r="C15" t="s">
        <v>58</v>
      </c>
      <c r="D15" t="s">
        <v>67</v>
      </c>
      <c r="E15" t="s">
        <v>74</v>
      </c>
      <c r="F15">
        <v>174876.55714285711</v>
      </c>
      <c r="G15" s="2">
        <v>44489</v>
      </c>
      <c r="J15" t="s">
        <v>82</v>
      </c>
      <c r="K15" s="2">
        <v>44489</v>
      </c>
      <c r="L15" s="2">
        <v>44471</v>
      </c>
      <c r="M15">
        <v>122</v>
      </c>
    </row>
    <row r="16" spans="1:15" x14ac:dyDescent="0.25">
      <c r="A16" t="s">
        <v>24</v>
      </c>
      <c r="B16" s="2">
        <v>44321</v>
      </c>
      <c r="C16" t="s">
        <v>59</v>
      </c>
      <c r="D16" t="s">
        <v>67</v>
      </c>
      <c r="E16" t="s">
        <v>75</v>
      </c>
      <c r="F16">
        <v>95069.224285714285</v>
      </c>
      <c r="G16" s="2">
        <v>44608</v>
      </c>
      <c r="J16" t="s">
        <v>82</v>
      </c>
      <c r="K16" s="2">
        <v>44608</v>
      </c>
      <c r="L16" s="2">
        <v>44604</v>
      </c>
      <c r="M16">
        <v>205</v>
      </c>
    </row>
    <row r="17" spans="1:13" x14ac:dyDescent="0.25">
      <c r="A17" t="s">
        <v>25</v>
      </c>
      <c r="B17" s="2">
        <v>44321</v>
      </c>
      <c r="C17" t="s">
        <v>59</v>
      </c>
      <c r="D17" t="s">
        <v>67</v>
      </c>
      <c r="E17" t="s">
        <v>75</v>
      </c>
      <c r="F17">
        <v>95069.224285714285</v>
      </c>
      <c r="G17" s="2">
        <v>44615</v>
      </c>
      <c r="J17" t="s">
        <v>82</v>
      </c>
      <c r="K17" s="2">
        <v>44616</v>
      </c>
      <c r="L17" s="2">
        <v>44604</v>
      </c>
      <c r="M17">
        <v>210</v>
      </c>
    </row>
    <row r="18" spans="1:13" x14ac:dyDescent="0.25">
      <c r="A18" t="s">
        <v>26</v>
      </c>
      <c r="B18" s="2">
        <v>44321</v>
      </c>
      <c r="C18" t="s">
        <v>60</v>
      </c>
      <c r="D18" t="s">
        <v>67</v>
      </c>
      <c r="E18" t="s">
        <v>76</v>
      </c>
      <c r="F18">
        <v>0</v>
      </c>
      <c r="G18" s="2">
        <v>44616</v>
      </c>
      <c r="J18" t="s">
        <v>82</v>
      </c>
      <c r="K18" s="2">
        <v>44616</v>
      </c>
      <c r="L18" s="2">
        <v>33</v>
      </c>
      <c r="M18">
        <v>211</v>
      </c>
    </row>
    <row r="19" spans="1:13" x14ac:dyDescent="0.25">
      <c r="A19" t="s">
        <v>27</v>
      </c>
      <c r="B19" s="2">
        <v>44321</v>
      </c>
      <c r="C19" t="s">
        <v>57</v>
      </c>
      <c r="D19" t="s">
        <v>67</v>
      </c>
      <c r="E19" t="s">
        <v>76</v>
      </c>
      <c r="F19">
        <v>0</v>
      </c>
      <c r="G19" s="2">
        <v>44608</v>
      </c>
      <c r="J19" t="s">
        <v>82</v>
      </c>
      <c r="K19" s="2">
        <v>44608</v>
      </c>
      <c r="L19" s="2">
        <v>33</v>
      </c>
      <c r="M19">
        <v>205</v>
      </c>
    </row>
    <row r="20" spans="1:13" x14ac:dyDescent="0.25">
      <c r="A20" t="s">
        <v>28</v>
      </c>
      <c r="B20" s="2">
        <v>44333</v>
      </c>
      <c r="C20" t="s">
        <v>53</v>
      </c>
      <c r="D20" t="s">
        <v>67</v>
      </c>
      <c r="E20" t="s">
        <v>70</v>
      </c>
      <c r="F20">
        <v>72857.539285714287</v>
      </c>
      <c r="G20" s="2">
        <v>44566</v>
      </c>
      <c r="J20" t="s">
        <v>82</v>
      </c>
      <c r="K20" s="2">
        <v>44566</v>
      </c>
      <c r="L20" s="2">
        <v>44565</v>
      </c>
      <c r="M20">
        <v>167</v>
      </c>
    </row>
    <row r="21" spans="1:13" x14ac:dyDescent="0.25">
      <c r="A21" t="s">
        <v>29</v>
      </c>
      <c r="B21" s="2">
        <v>44333</v>
      </c>
      <c r="C21" t="s">
        <v>51</v>
      </c>
      <c r="D21" t="s">
        <v>67</v>
      </c>
      <c r="E21" t="s">
        <v>76</v>
      </c>
      <c r="F21">
        <v>64509.049285714282</v>
      </c>
      <c r="G21" s="2">
        <v>44608</v>
      </c>
      <c r="J21" t="s">
        <v>82</v>
      </c>
      <c r="K21" s="2">
        <v>44608</v>
      </c>
      <c r="L21" s="2">
        <v>44604</v>
      </c>
      <c r="M21">
        <v>197</v>
      </c>
    </row>
    <row r="22" spans="1:13" x14ac:dyDescent="0.25">
      <c r="A22" t="s">
        <v>30</v>
      </c>
      <c r="B22" s="2">
        <v>44341</v>
      </c>
      <c r="C22" t="s">
        <v>51</v>
      </c>
      <c r="D22" t="s">
        <v>67</v>
      </c>
      <c r="E22" t="s">
        <v>70</v>
      </c>
      <c r="F22">
        <v>0</v>
      </c>
      <c r="G22" s="2">
        <v>44608</v>
      </c>
      <c r="J22" t="s">
        <v>81</v>
      </c>
      <c r="K22" s="2">
        <v>44608</v>
      </c>
      <c r="L22" s="2">
        <v>33</v>
      </c>
      <c r="M22">
        <v>191</v>
      </c>
    </row>
    <row r="23" spans="1:13" x14ac:dyDescent="0.25">
      <c r="A23" t="s">
        <v>31</v>
      </c>
      <c r="B23" s="2">
        <v>44341</v>
      </c>
      <c r="C23" t="s">
        <v>61</v>
      </c>
      <c r="D23" t="s">
        <v>67</v>
      </c>
      <c r="E23" t="s">
        <v>71</v>
      </c>
      <c r="F23">
        <v>59400.970714285722</v>
      </c>
      <c r="G23" s="2">
        <v>44538</v>
      </c>
      <c r="J23" t="s">
        <v>81</v>
      </c>
      <c r="K23" s="2">
        <v>44538</v>
      </c>
      <c r="L23" s="2">
        <v>44538</v>
      </c>
      <c r="M23">
        <v>141</v>
      </c>
    </row>
    <row r="24" spans="1:13" x14ac:dyDescent="0.25">
      <c r="A24" t="s">
        <v>32</v>
      </c>
      <c r="B24" s="2">
        <v>44341</v>
      </c>
      <c r="C24" t="s">
        <v>61</v>
      </c>
      <c r="D24" t="s">
        <v>67</v>
      </c>
      <c r="E24" t="s">
        <v>71</v>
      </c>
      <c r="F24">
        <v>59401.28571428571</v>
      </c>
      <c r="G24" s="2">
        <v>44580</v>
      </c>
      <c r="J24" t="s">
        <v>81</v>
      </c>
      <c r="K24" s="2">
        <v>44580</v>
      </c>
      <c r="L24" s="2">
        <v>44565</v>
      </c>
      <c r="M24">
        <v>171</v>
      </c>
    </row>
    <row r="25" spans="1:13" x14ac:dyDescent="0.25">
      <c r="A25" t="s">
        <v>33</v>
      </c>
      <c r="B25" s="2">
        <v>44341</v>
      </c>
      <c r="C25" t="s">
        <v>57</v>
      </c>
      <c r="D25" t="s">
        <v>67</v>
      </c>
      <c r="E25" t="s">
        <v>77</v>
      </c>
      <c r="F25">
        <v>0</v>
      </c>
      <c r="G25" s="2">
        <v>44608</v>
      </c>
      <c r="J25" t="s">
        <v>81</v>
      </c>
      <c r="K25" s="2">
        <v>44608</v>
      </c>
      <c r="L25" s="2">
        <v>33</v>
      </c>
      <c r="M25">
        <v>191</v>
      </c>
    </row>
    <row r="26" spans="1:13" x14ac:dyDescent="0.25">
      <c r="A26" t="s">
        <v>34</v>
      </c>
      <c r="B26" s="2">
        <v>44342</v>
      </c>
      <c r="C26" t="s">
        <v>62</v>
      </c>
      <c r="D26" t="s">
        <v>67</v>
      </c>
      <c r="E26" t="s">
        <v>75</v>
      </c>
      <c r="F26">
        <v>0</v>
      </c>
      <c r="G26" s="2">
        <v>44615</v>
      </c>
      <c r="J26" t="s">
        <v>81</v>
      </c>
      <c r="K26" s="2">
        <v>44623</v>
      </c>
      <c r="L26" s="2">
        <v>33</v>
      </c>
      <c r="M26">
        <v>195</v>
      </c>
    </row>
    <row r="27" spans="1:13" x14ac:dyDescent="0.25">
      <c r="A27" t="s">
        <v>35</v>
      </c>
      <c r="B27" s="2">
        <v>44347</v>
      </c>
      <c r="C27" t="s">
        <v>60</v>
      </c>
      <c r="D27" t="s">
        <v>67</v>
      </c>
      <c r="E27" t="s">
        <v>70</v>
      </c>
      <c r="F27">
        <v>94528.619999999981</v>
      </c>
      <c r="G27" s="2">
        <v>44636</v>
      </c>
      <c r="J27" t="s">
        <v>81</v>
      </c>
      <c r="K27" s="2">
        <v>44633</v>
      </c>
      <c r="L27" s="2">
        <v>44615</v>
      </c>
      <c r="M27">
        <v>207</v>
      </c>
    </row>
    <row r="28" spans="1:13" x14ac:dyDescent="0.25">
      <c r="A28" t="s">
        <v>36</v>
      </c>
      <c r="B28" s="2">
        <v>44352</v>
      </c>
      <c r="C28" t="s">
        <v>63</v>
      </c>
      <c r="D28" t="s">
        <v>67</v>
      </c>
      <c r="E28" t="s">
        <v>78</v>
      </c>
      <c r="F28">
        <v>128028.7542857143</v>
      </c>
      <c r="G28" s="2">
        <v>44623</v>
      </c>
      <c r="J28" t="s">
        <v>81</v>
      </c>
      <c r="K28" s="2">
        <v>44623</v>
      </c>
      <c r="L28" s="2">
        <v>44604</v>
      </c>
      <c r="M28">
        <v>193</v>
      </c>
    </row>
    <row r="29" spans="1:13" x14ac:dyDescent="0.25">
      <c r="A29" t="s">
        <v>37</v>
      </c>
      <c r="B29" s="2">
        <v>44353</v>
      </c>
      <c r="C29" t="s">
        <v>60</v>
      </c>
      <c r="D29" t="s">
        <v>67</v>
      </c>
      <c r="E29" t="s">
        <v>79</v>
      </c>
      <c r="F29">
        <v>0</v>
      </c>
      <c r="G29" s="2">
        <v>44608</v>
      </c>
      <c r="J29" t="s">
        <v>81</v>
      </c>
      <c r="K29" s="2">
        <v>44608</v>
      </c>
      <c r="L29" s="2">
        <v>33</v>
      </c>
      <c r="M29">
        <v>182</v>
      </c>
    </row>
    <row r="30" spans="1:13" x14ac:dyDescent="0.25">
      <c r="A30" t="s">
        <v>37</v>
      </c>
      <c r="B30" s="2">
        <v>44353</v>
      </c>
      <c r="C30" t="s">
        <v>60</v>
      </c>
      <c r="D30" t="s">
        <v>67</v>
      </c>
      <c r="E30" t="s">
        <v>79</v>
      </c>
      <c r="F30">
        <v>0</v>
      </c>
      <c r="G30" s="2">
        <v>44608</v>
      </c>
      <c r="J30" t="s">
        <v>81</v>
      </c>
      <c r="K30" s="2">
        <v>44608</v>
      </c>
      <c r="L30" s="2">
        <v>33</v>
      </c>
      <c r="M30">
        <v>182</v>
      </c>
    </row>
    <row r="31" spans="1:13" x14ac:dyDescent="0.25">
      <c r="A31" t="s">
        <v>38</v>
      </c>
      <c r="B31" s="2">
        <v>44366</v>
      </c>
      <c r="C31" t="s">
        <v>60</v>
      </c>
      <c r="D31" t="s">
        <v>67</v>
      </c>
      <c r="E31" t="s">
        <v>70</v>
      </c>
      <c r="F31">
        <v>0</v>
      </c>
      <c r="G31" s="2">
        <v>44608</v>
      </c>
      <c r="J31" t="s">
        <v>81</v>
      </c>
      <c r="K31" s="2">
        <v>44608</v>
      </c>
      <c r="L31" s="2">
        <v>33</v>
      </c>
      <c r="M31">
        <v>172</v>
      </c>
    </row>
    <row r="32" spans="1:13" x14ac:dyDescent="0.25">
      <c r="A32" t="s">
        <v>39</v>
      </c>
      <c r="B32" s="2">
        <v>44366</v>
      </c>
      <c r="C32" t="s">
        <v>64</v>
      </c>
      <c r="D32" t="s">
        <v>66</v>
      </c>
      <c r="E32" t="s">
        <v>70</v>
      </c>
      <c r="F32">
        <v>0</v>
      </c>
      <c r="G32" s="2">
        <v>44608</v>
      </c>
      <c r="K32" s="2">
        <v>44608</v>
      </c>
      <c r="L32" s="2">
        <v>33</v>
      </c>
      <c r="M32">
        <v>172</v>
      </c>
    </row>
    <row r="33" spans="1:13" x14ac:dyDescent="0.25">
      <c r="A33" t="s">
        <v>40</v>
      </c>
      <c r="B33" s="2">
        <v>44376</v>
      </c>
      <c r="C33" t="s">
        <v>60</v>
      </c>
      <c r="D33" t="s">
        <v>67</v>
      </c>
      <c r="E33" t="s">
        <v>69</v>
      </c>
      <c r="F33">
        <v>186586.9778571428</v>
      </c>
      <c r="G33" s="2">
        <v>44568</v>
      </c>
      <c r="J33" t="s">
        <v>81</v>
      </c>
      <c r="K33" s="2">
        <v>44568</v>
      </c>
      <c r="L33" s="2">
        <v>44547</v>
      </c>
      <c r="M33">
        <v>138</v>
      </c>
    </row>
    <row r="34" spans="1:13" x14ac:dyDescent="0.25">
      <c r="A34" t="s">
        <v>41</v>
      </c>
      <c r="B34" s="2">
        <v>44370</v>
      </c>
      <c r="C34" t="s">
        <v>51</v>
      </c>
      <c r="D34" t="s">
        <v>67</v>
      </c>
      <c r="E34" t="s">
        <v>70</v>
      </c>
      <c r="F34">
        <v>58273.71428571429</v>
      </c>
      <c r="G34" s="2">
        <v>44580</v>
      </c>
      <c r="J34" t="s">
        <v>81</v>
      </c>
      <c r="K34" s="2">
        <v>44580</v>
      </c>
      <c r="L34" s="2">
        <v>44391</v>
      </c>
      <c r="M34">
        <v>150</v>
      </c>
    </row>
    <row r="35" spans="1:13" x14ac:dyDescent="0.25">
      <c r="A35" t="s">
        <v>42</v>
      </c>
      <c r="B35" s="2">
        <v>44375</v>
      </c>
      <c r="C35" t="s">
        <v>53</v>
      </c>
      <c r="D35" t="s">
        <v>67</v>
      </c>
      <c r="E35" t="s">
        <v>76</v>
      </c>
      <c r="F35">
        <v>58631.804999999993</v>
      </c>
      <c r="G35" s="2">
        <v>44636</v>
      </c>
      <c r="J35" t="s">
        <v>81</v>
      </c>
      <c r="K35" s="2">
        <v>44636</v>
      </c>
      <c r="L35" s="2">
        <v>44628</v>
      </c>
      <c r="M35">
        <v>187</v>
      </c>
    </row>
    <row r="36" spans="1:13" x14ac:dyDescent="0.25">
      <c r="A36" t="s">
        <v>43</v>
      </c>
      <c r="B36" s="2">
        <v>44375</v>
      </c>
      <c r="C36" t="s">
        <v>57</v>
      </c>
      <c r="D36" t="s">
        <v>67</v>
      </c>
      <c r="E36" t="s">
        <v>80</v>
      </c>
      <c r="F36">
        <v>114467.3357142857</v>
      </c>
      <c r="G36" s="2">
        <v>44615</v>
      </c>
      <c r="J36" t="s">
        <v>81</v>
      </c>
      <c r="K36" s="2">
        <v>44615</v>
      </c>
      <c r="L36" s="2">
        <v>44604</v>
      </c>
      <c r="M36">
        <v>172</v>
      </c>
    </row>
    <row r="37" spans="1:13" x14ac:dyDescent="0.25">
      <c r="A37" t="s">
        <v>44</v>
      </c>
      <c r="B37" s="2">
        <v>44375</v>
      </c>
      <c r="C37" t="s">
        <v>53</v>
      </c>
      <c r="D37" t="s">
        <v>67</v>
      </c>
      <c r="E37" t="s">
        <v>80</v>
      </c>
      <c r="F37">
        <v>76390.07142857142</v>
      </c>
      <c r="G37" s="2">
        <v>44636</v>
      </c>
      <c r="J37" t="s">
        <v>81</v>
      </c>
      <c r="K37" s="2">
        <v>44636</v>
      </c>
      <c r="L37" s="2">
        <v>44635</v>
      </c>
      <c r="M37">
        <v>187</v>
      </c>
    </row>
    <row r="38" spans="1:13" x14ac:dyDescent="0.25">
      <c r="A38" t="s">
        <v>45</v>
      </c>
      <c r="B38" s="2">
        <v>44376</v>
      </c>
      <c r="C38" t="s">
        <v>63</v>
      </c>
      <c r="D38" t="s">
        <v>67</v>
      </c>
      <c r="E38" t="s">
        <v>80</v>
      </c>
      <c r="F38">
        <v>125125.1485714286</v>
      </c>
      <c r="G38" s="2">
        <v>44678</v>
      </c>
      <c r="J38" t="s">
        <v>81</v>
      </c>
      <c r="K38" s="2">
        <v>44678</v>
      </c>
      <c r="L38" s="2">
        <v>44664</v>
      </c>
      <c r="M38">
        <v>216</v>
      </c>
    </row>
    <row r="39" spans="1:13" x14ac:dyDescent="0.25">
      <c r="A39" t="s">
        <v>46</v>
      </c>
      <c r="B39" s="2">
        <v>44376</v>
      </c>
      <c r="C39" t="s">
        <v>65</v>
      </c>
      <c r="D39" t="s">
        <v>67</v>
      </c>
      <c r="E39" t="s">
        <v>80</v>
      </c>
      <c r="F39">
        <v>34740.642857142862</v>
      </c>
      <c r="G39" s="2">
        <v>44664</v>
      </c>
      <c r="J39" t="s">
        <v>81</v>
      </c>
      <c r="K39" s="2">
        <v>44664</v>
      </c>
      <c r="L39" s="2">
        <v>44656</v>
      </c>
      <c r="M39">
        <v>206</v>
      </c>
    </row>
    <row r="40" spans="1:13" x14ac:dyDescent="0.25">
      <c r="A40" t="s">
        <v>47</v>
      </c>
      <c r="B40" s="2">
        <v>44377</v>
      </c>
      <c r="C40" t="s">
        <v>57</v>
      </c>
      <c r="D40" t="s">
        <v>67</v>
      </c>
      <c r="E40" t="s">
        <v>77</v>
      </c>
      <c r="F40">
        <v>117972.51428571429</v>
      </c>
      <c r="G40" s="2">
        <v>44622</v>
      </c>
      <c r="J40" t="s">
        <v>81</v>
      </c>
      <c r="K40" s="2">
        <v>44622</v>
      </c>
      <c r="L40" s="2">
        <v>44604</v>
      </c>
      <c r="M40">
        <v>175</v>
      </c>
    </row>
    <row r="41" spans="1:13" x14ac:dyDescent="0.25">
      <c r="A41" t="s">
        <v>48</v>
      </c>
      <c r="B41" s="2">
        <v>44377</v>
      </c>
      <c r="C41" t="s">
        <v>57</v>
      </c>
      <c r="D41" t="s">
        <v>67</v>
      </c>
      <c r="E41" t="s">
        <v>77</v>
      </c>
      <c r="F41">
        <v>0</v>
      </c>
      <c r="G41" s="2">
        <v>44622</v>
      </c>
      <c r="J41" t="s">
        <v>81</v>
      </c>
      <c r="K41" s="2">
        <v>44622</v>
      </c>
      <c r="L41" s="2">
        <v>33</v>
      </c>
      <c r="M41">
        <v>175</v>
      </c>
    </row>
    <row r="42" spans="1:13" x14ac:dyDescent="0.25">
      <c r="A42" t="s">
        <v>49</v>
      </c>
      <c r="B42" s="2">
        <v>44380</v>
      </c>
      <c r="C42" t="s">
        <v>51</v>
      </c>
      <c r="D42" t="s">
        <v>67</v>
      </c>
      <c r="E42" t="s">
        <v>70</v>
      </c>
      <c r="F42">
        <v>56193.402857142857</v>
      </c>
      <c r="G42" s="2">
        <v>44615</v>
      </c>
      <c r="J42" t="s">
        <v>81</v>
      </c>
      <c r="K42" s="2">
        <v>44615</v>
      </c>
      <c r="L42" s="2">
        <v>44604</v>
      </c>
      <c r="M42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2023-08-05T11:47:31Z</dcterms:created>
  <dcterms:modified xsi:type="dcterms:W3CDTF">2023-08-05T11:53:08Z</dcterms:modified>
</cp:coreProperties>
</file>