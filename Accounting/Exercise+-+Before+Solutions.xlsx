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Financial-Analysis\Accounting\"/>
    </mc:Choice>
  </mc:AlternateContent>
  <xr:revisionPtr revIDLastSave="0" documentId="13_ncr:1_{69B873B4-B75D-49A4-8E54-367AF05D5EE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book" sheetId="1" r:id="rId1"/>
    <sheet name="T-accounts" sheetId="4" r:id="rId2"/>
    <sheet name="Balance Sheet" sheetId="7" r:id="rId3"/>
    <sheet name="Income Statemen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7" l="1"/>
  <c r="C9" i="6"/>
  <c r="C8" i="6"/>
  <c r="C6" i="6"/>
  <c r="C5" i="6"/>
  <c r="C7" i="6"/>
  <c r="M25" i="4"/>
  <c r="M18" i="4"/>
  <c r="M11" i="4"/>
  <c r="Q11" i="4"/>
  <c r="Q10" i="4"/>
  <c r="L24" i="4"/>
  <c r="L17" i="4"/>
  <c r="L10" i="4"/>
  <c r="F8" i="7"/>
  <c r="D8" i="7"/>
  <c r="F5" i="7"/>
  <c r="D7" i="7"/>
  <c r="D6" i="7"/>
  <c r="D5" i="7"/>
  <c r="H18" i="4"/>
  <c r="H11" i="4"/>
  <c r="D27" i="4"/>
  <c r="D20" i="4"/>
  <c r="D13" i="4"/>
  <c r="H17" i="4"/>
  <c r="H10" i="4"/>
  <c r="D26" i="4"/>
  <c r="C26" i="4"/>
  <c r="D19" i="4"/>
  <c r="C19" i="4"/>
  <c r="C12" i="4"/>
  <c r="D12" i="4"/>
  <c r="C10" i="6" l="1"/>
</calcChain>
</file>

<file path=xl/sharedStrings.xml><?xml version="1.0" encoding="utf-8"?>
<sst xmlns="http://schemas.openxmlformats.org/spreadsheetml/2006/main" count="102" uniqueCount="42">
  <si>
    <t>Daybook</t>
  </si>
  <si>
    <t>Balance Sheet</t>
  </si>
  <si>
    <t>Income Statement</t>
  </si>
  <si>
    <t>T-accounts</t>
  </si>
  <si>
    <t>Date</t>
  </si>
  <si>
    <t>Account</t>
  </si>
  <si>
    <t>Debit</t>
  </si>
  <si>
    <t>Credit</t>
  </si>
  <si>
    <t>Assets</t>
  </si>
  <si>
    <t>Liabilities &amp; Equity</t>
  </si>
  <si>
    <t>1 Jun 2015</t>
  </si>
  <si>
    <t>Equity</t>
  </si>
  <si>
    <t>Cash</t>
  </si>
  <si>
    <t>10 Jun 2015</t>
  </si>
  <si>
    <t>PP&amp;E</t>
  </si>
  <si>
    <t>12 Jun 2015</t>
  </si>
  <si>
    <t xml:space="preserve">Raw materials </t>
  </si>
  <si>
    <t>Trade payables</t>
  </si>
  <si>
    <t>Raw materials</t>
  </si>
  <si>
    <t>26 Jun 2015</t>
  </si>
  <si>
    <t>Cost of goods sold</t>
  </si>
  <si>
    <t>Revenue</t>
  </si>
  <si>
    <t>Utilitiy expenses</t>
  </si>
  <si>
    <t>Utility expenses</t>
  </si>
  <si>
    <t>15 Jun 2015</t>
  </si>
  <si>
    <t>20 Aug 2015</t>
  </si>
  <si>
    <t>Depreciation</t>
  </si>
  <si>
    <t>Expenses</t>
  </si>
  <si>
    <t>Income</t>
  </si>
  <si>
    <t>Total Cash</t>
  </si>
  <si>
    <t>As of 20th August 2015</t>
  </si>
  <si>
    <t xml:space="preserve">Assets </t>
  </si>
  <si>
    <t>Trade payable</t>
  </si>
  <si>
    <t>Total assets</t>
  </si>
  <si>
    <t>Total Liabilities</t>
  </si>
  <si>
    <t xml:space="preserve">Income Statement </t>
  </si>
  <si>
    <t>Revenues</t>
  </si>
  <si>
    <t>Costs of goods sold</t>
  </si>
  <si>
    <t xml:space="preserve">Gross profit </t>
  </si>
  <si>
    <t>D&amp;A</t>
  </si>
  <si>
    <t>Net Income</t>
  </si>
  <si>
    <t>FY15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</si>
</sst>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л_в_._-;\-* #,##0.00\ _л_в_._-;_-* &quot;-&quot;??\ _л_в_._-;_-@_-"/>
    <numFmt numFmtId="165" formatCode="0.0"/>
    <numFmt numFmtId="166" formatCode="[$-F800]dddd\,\ 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color rgb="FF00206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sz val="11"/>
      <color rgb="FF00206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/>
      <right style="medium">
        <color rgb="FF00206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thick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0" xfId="0" applyFont="1" applyFill="1"/>
    <xf numFmtId="0" fontId="4" fillId="3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3" borderId="0" xfId="0" applyFont="1" applyFill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8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9" fillId="2" borderId="0" xfId="0" applyFont="1" applyFill="1"/>
    <xf numFmtId="49" fontId="2" fillId="2" borderId="0" xfId="0" applyNumberFormat="1" applyFont="1" applyFill="1"/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right"/>
    </xf>
    <xf numFmtId="3" fontId="2" fillId="2" borderId="0" xfId="0" applyNumberFormat="1" applyFont="1" applyFill="1"/>
    <xf numFmtId="165" fontId="2" fillId="2" borderId="0" xfId="1" applyNumberFormat="1" applyFont="1" applyFill="1" applyBorder="1" applyAlignment="1">
      <alignment horizontal="left"/>
    </xf>
    <xf numFmtId="165" fontId="2" fillId="2" borderId="0" xfId="0" applyNumberFormat="1" applyFont="1" applyFill="1"/>
    <xf numFmtId="166" fontId="2" fillId="2" borderId="0" xfId="0" applyNumberFormat="1" applyFont="1" applyFill="1"/>
    <xf numFmtId="0" fontId="10" fillId="2" borderId="0" xfId="0" applyFont="1" applyFill="1"/>
    <xf numFmtId="49" fontId="10" fillId="2" borderId="0" xfId="0" applyNumberFormat="1" applyFont="1" applyFill="1"/>
    <xf numFmtId="0" fontId="6" fillId="3" borderId="0" xfId="0" applyFont="1" applyFill="1"/>
    <xf numFmtId="0" fontId="2" fillId="2" borderId="4" xfId="0" applyFont="1" applyFill="1" applyBorder="1"/>
    <xf numFmtId="0" fontId="8" fillId="2" borderId="4" xfId="0" applyFont="1" applyFill="1" applyBorder="1"/>
    <xf numFmtId="0" fontId="8" fillId="2" borderId="4" xfId="0" applyFont="1" applyFill="1" applyBorder="1" applyAlignment="1">
      <alignment horizontal="right"/>
    </xf>
    <xf numFmtId="0" fontId="2" fillId="2" borderId="0" xfId="0" applyFont="1" applyFill="1" applyBorder="1"/>
    <xf numFmtId="0" fontId="6" fillId="3" borderId="6" xfId="0" applyFont="1" applyFill="1" applyBorder="1"/>
    <xf numFmtId="0" fontId="12" fillId="2" borderId="0" xfId="0" applyFont="1" applyFill="1"/>
    <xf numFmtId="0" fontId="13" fillId="2" borderId="0" xfId="0" applyFont="1" applyFill="1"/>
    <xf numFmtId="0" fontId="12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13" fillId="2" borderId="2" xfId="0" applyFont="1" applyFill="1" applyBorder="1"/>
    <xf numFmtId="0" fontId="13" fillId="2" borderId="4" xfId="0" applyFont="1" applyFill="1" applyBorder="1" applyAlignment="1">
      <alignment horizontal="center"/>
    </xf>
    <xf numFmtId="0" fontId="13" fillId="2" borderId="3" xfId="0" applyFont="1" applyFill="1" applyBorder="1"/>
    <xf numFmtId="0" fontId="13" fillId="2" borderId="6" xfId="0" applyFont="1" applyFill="1" applyBorder="1"/>
    <xf numFmtId="0" fontId="13" fillId="2" borderId="5" xfId="0" applyFont="1" applyFill="1" applyBorder="1"/>
    <xf numFmtId="0" fontId="13" fillId="2" borderId="7" xfId="0" applyFont="1" applyFill="1" applyBorder="1"/>
    <xf numFmtId="0" fontId="13" fillId="2" borderId="4" xfId="0" applyFont="1" applyFill="1" applyBorder="1"/>
    <xf numFmtId="0" fontId="12" fillId="2" borderId="6" xfId="0" applyFont="1" applyFill="1" applyBorder="1" applyAlignment="1">
      <alignment horizontal="center"/>
    </xf>
    <xf numFmtId="0" fontId="13" fillId="2" borderId="0" xfId="0" applyFont="1" applyFill="1" applyAlignment="1"/>
    <xf numFmtId="0" fontId="13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3" fillId="3" borderId="0" xfId="0" applyFont="1" applyFill="1"/>
    <xf numFmtId="3" fontId="2" fillId="2" borderId="4" xfId="0" applyNumberFormat="1" applyFont="1" applyFill="1" applyBorder="1"/>
    <xf numFmtId="3" fontId="2" fillId="2" borderId="0" xfId="0" applyNumberFormat="1" applyFont="1" applyFill="1" applyBorder="1"/>
    <xf numFmtId="3" fontId="2" fillId="2" borderId="8" xfId="0" applyNumberFormat="1" applyFont="1" applyFill="1" applyBorder="1"/>
    <xf numFmtId="0" fontId="8" fillId="2" borderId="8" xfId="0" applyFont="1" applyFill="1" applyBorder="1"/>
    <xf numFmtId="0" fontId="5" fillId="2" borderId="4" xfId="0" applyFont="1" applyFill="1" applyBorder="1"/>
    <xf numFmtId="3" fontId="5" fillId="2" borderId="4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0"/>
  <sheetViews>
    <sheetView tabSelected="1" workbookViewId="0">
      <selection activeCell="B3" sqref="B3"/>
    </sheetView>
  </sheetViews>
  <sheetFormatPr defaultColWidth="9.1796875" defaultRowHeight="14" x14ac:dyDescent="0.3"/>
  <cols>
    <col min="1" max="1" width="2" style="4" customWidth="1"/>
    <col min="2" max="2" width="15.6328125" style="1" customWidth="1"/>
    <col min="3" max="3" width="18.6328125" style="1" customWidth="1"/>
    <col min="4" max="6" width="15.6328125" style="1" customWidth="1"/>
    <col min="7" max="7" width="15.6328125" style="4" customWidth="1"/>
    <col min="8" max="8" width="18.6328125" style="4" customWidth="1"/>
    <col min="9" max="10" width="15.6328125" style="4" customWidth="1"/>
    <col min="11" max="16384" width="9.1796875" style="4"/>
  </cols>
  <sheetData>
    <row r="1" spans="2:10" x14ac:dyDescent="0.3">
      <c r="B1" s="3" t="s">
        <v>0</v>
      </c>
      <c r="C1" s="4"/>
      <c r="D1" s="4"/>
      <c r="E1" s="4"/>
      <c r="F1" s="4"/>
    </row>
    <row r="2" spans="2:10" x14ac:dyDescent="0.3">
      <c r="B2" s="4"/>
      <c r="C2" s="4"/>
      <c r="D2" s="4"/>
      <c r="E2" s="4"/>
      <c r="F2" s="4"/>
    </row>
    <row r="3" spans="2:10" x14ac:dyDescent="0.3">
      <c r="B3" s="4"/>
      <c r="C3" s="4"/>
      <c r="D3" s="4"/>
      <c r="E3" s="4"/>
      <c r="F3" s="4"/>
    </row>
    <row r="4" spans="2:10" x14ac:dyDescent="0.3">
      <c r="B4" s="5" t="s">
        <v>1</v>
      </c>
      <c r="C4" s="5"/>
      <c r="D4" s="5"/>
      <c r="E4" s="5"/>
      <c r="F4" s="4"/>
      <c r="G4" s="5" t="s">
        <v>2</v>
      </c>
      <c r="H4" s="5"/>
      <c r="I4" s="5"/>
      <c r="J4" s="5"/>
    </row>
    <row r="5" spans="2:10" ht="14.5" thickBot="1" x14ac:dyDescent="0.35">
      <c r="B5" s="6" t="s">
        <v>4</v>
      </c>
      <c r="C5" s="6" t="s">
        <v>5</v>
      </c>
      <c r="D5" s="7" t="s">
        <v>6</v>
      </c>
      <c r="E5" s="7" t="s">
        <v>7</v>
      </c>
      <c r="F5" s="11"/>
      <c r="G5" s="6" t="s">
        <v>4</v>
      </c>
      <c r="H5" s="6" t="s">
        <v>5</v>
      </c>
      <c r="I5" s="7" t="s">
        <v>6</v>
      </c>
      <c r="J5" s="7" t="s">
        <v>7</v>
      </c>
    </row>
    <row r="6" spans="2:10" x14ac:dyDescent="0.3">
      <c r="B6" s="20" t="s">
        <v>10</v>
      </c>
      <c r="C6" s="1" t="s">
        <v>11</v>
      </c>
      <c r="D6" s="13"/>
      <c r="E6" s="13">
        <v>3000</v>
      </c>
      <c r="G6" s="22" t="s">
        <v>19</v>
      </c>
      <c r="H6" s="21" t="s">
        <v>20</v>
      </c>
      <c r="I6" s="21">
        <v>400</v>
      </c>
      <c r="J6" s="21"/>
    </row>
    <row r="7" spans="2:10" x14ac:dyDescent="0.3">
      <c r="B7" s="20" t="s">
        <v>10</v>
      </c>
      <c r="C7" s="1" t="s">
        <v>12</v>
      </c>
      <c r="D7" s="13">
        <v>3000</v>
      </c>
      <c r="E7" s="13"/>
      <c r="G7" s="12" t="s">
        <v>19</v>
      </c>
      <c r="H7" s="21" t="s">
        <v>21</v>
      </c>
      <c r="I7" s="21"/>
      <c r="J7" s="21">
        <v>1200</v>
      </c>
    </row>
    <row r="8" spans="2:10" x14ac:dyDescent="0.3">
      <c r="B8" s="20" t="s">
        <v>13</v>
      </c>
      <c r="C8" s="1" t="s">
        <v>14</v>
      </c>
      <c r="D8" s="13">
        <v>1000</v>
      </c>
      <c r="E8" s="13"/>
      <c r="G8" s="12" t="s">
        <v>19</v>
      </c>
      <c r="H8" s="21" t="s">
        <v>22</v>
      </c>
      <c r="I8" s="21">
        <v>150</v>
      </c>
      <c r="J8" s="21"/>
    </row>
    <row r="9" spans="2:10" x14ac:dyDescent="0.3">
      <c r="B9" s="20" t="s">
        <v>13</v>
      </c>
      <c r="C9" s="1" t="s">
        <v>12</v>
      </c>
      <c r="D9" s="13"/>
      <c r="E9" s="13">
        <v>1000</v>
      </c>
      <c r="G9" s="14" t="s">
        <v>25</v>
      </c>
      <c r="H9" s="21" t="s">
        <v>21</v>
      </c>
      <c r="I9" s="21"/>
      <c r="J9" s="21">
        <v>2700</v>
      </c>
    </row>
    <row r="10" spans="2:10" x14ac:dyDescent="0.3">
      <c r="B10" s="20" t="s">
        <v>15</v>
      </c>
      <c r="C10" s="1" t="s">
        <v>16</v>
      </c>
      <c r="D10" s="13">
        <v>500</v>
      </c>
      <c r="E10" s="13"/>
      <c r="G10" s="14" t="s">
        <v>25</v>
      </c>
      <c r="H10" s="21" t="s">
        <v>20</v>
      </c>
      <c r="I10" s="21">
        <v>900</v>
      </c>
      <c r="J10" s="21"/>
    </row>
    <row r="11" spans="2:10" x14ac:dyDescent="0.3">
      <c r="B11" s="20" t="s">
        <v>15</v>
      </c>
      <c r="C11" s="1" t="s">
        <v>12</v>
      </c>
      <c r="D11" s="13"/>
      <c r="E11" s="13">
        <v>250</v>
      </c>
      <c r="G11" s="14" t="s">
        <v>25</v>
      </c>
      <c r="H11" s="21" t="s">
        <v>22</v>
      </c>
      <c r="I11" s="21">
        <v>200</v>
      </c>
      <c r="J11" s="21"/>
    </row>
    <row r="12" spans="2:10" x14ac:dyDescent="0.3">
      <c r="B12" s="20" t="s">
        <v>15</v>
      </c>
      <c r="C12" s="1" t="s">
        <v>17</v>
      </c>
      <c r="D12" s="13"/>
      <c r="E12" s="13">
        <v>250</v>
      </c>
      <c r="G12" s="14" t="s">
        <v>25</v>
      </c>
      <c r="H12" s="21" t="s">
        <v>26</v>
      </c>
      <c r="I12" s="21">
        <v>100</v>
      </c>
      <c r="J12" s="21"/>
    </row>
    <row r="13" spans="2:10" x14ac:dyDescent="0.3">
      <c r="B13" s="12" t="s">
        <v>19</v>
      </c>
      <c r="C13" s="1" t="s">
        <v>16</v>
      </c>
      <c r="D13" s="13"/>
      <c r="E13" s="13">
        <v>400</v>
      </c>
      <c r="G13" s="21"/>
      <c r="H13" s="21"/>
      <c r="I13" s="21"/>
      <c r="J13" s="21"/>
    </row>
    <row r="14" spans="2:10" x14ac:dyDescent="0.3">
      <c r="B14" s="12" t="s">
        <v>19</v>
      </c>
      <c r="C14" s="1" t="s">
        <v>12</v>
      </c>
      <c r="D14" s="13">
        <v>1200</v>
      </c>
      <c r="E14" s="13"/>
      <c r="G14" s="21"/>
      <c r="H14" s="21"/>
      <c r="I14" s="21"/>
      <c r="J14" s="21"/>
    </row>
    <row r="15" spans="2:10" x14ac:dyDescent="0.3">
      <c r="B15" s="12" t="s">
        <v>19</v>
      </c>
      <c r="C15" s="1" t="s">
        <v>12</v>
      </c>
      <c r="D15" s="13"/>
      <c r="E15" s="13">
        <v>150</v>
      </c>
    </row>
    <row r="16" spans="2:10" x14ac:dyDescent="0.3">
      <c r="B16" s="12" t="s">
        <v>24</v>
      </c>
      <c r="C16" s="1" t="s">
        <v>16</v>
      </c>
      <c r="D16" s="13">
        <v>900</v>
      </c>
      <c r="E16" s="13"/>
    </row>
    <row r="17" spans="2:5" x14ac:dyDescent="0.3">
      <c r="B17" s="12" t="s">
        <v>24</v>
      </c>
      <c r="C17" s="1" t="s">
        <v>12</v>
      </c>
      <c r="D17" s="13"/>
      <c r="E17" s="13">
        <v>900</v>
      </c>
    </row>
    <row r="18" spans="2:5" x14ac:dyDescent="0.3">
      <c r="B18" s="14" t="s">
        <v>25</v>
      </c>
      <c r="C18" s="1" t="s">
        <v>12</v>
      </c>
      <c r="D18" s="13">
        <v>2700</v>
      </c>
      <c r="E18" s="13"/>
    </row>
    <row r="19" spans="2:5" x14ac:dyDescent="0.3">
      <c r="B19" s="14" t="s">
        <v>25</v>
      </c>
      <c r="C19" s="1" t="s">
        <v>16</v>
      </c>
      <c r="D19" s="13"/>
      <c r="E19" s="13">
        <v>900</v>
      </c>
    </row>
    <row r="20" spans="2:5" x14ac:dyDescent="0.3">
      <c r="B20" s="14" t="s">
        <v>25</v>
      </c>
      <c r="C20" s="1" t="s">
        <v>12</v>
      </c>
      <c r="D20" s="13"/>
      <c r="E20" s="13">
        <v>200</v>
      </c>
    </row>
    <row r="21" spans="2:5" x14ac:dyDescent="0.3">
      <c r="B21" s="14" t="s">
        <v>25</v>
      </c>
      <c r="C21" s="1" t="s">
        <v>14</v>
      </c>
      <c r="D21" s="13"/>
      <c r="E21" s="13">
        <v>100</v>
      </c>
    </row>
    <row r="22" spans="2:5" x14ac:dyDescent="0.3">
      <c r="B22" s="12"/>
      <c r="D22" s="13"/>
      <c r="E22" s="13"/>
    </row>
    <row r="23" spans="2:5" x14ac:dyDescent="0.3">
      <c r="B23" s="12"/>
      <c r="D23" s="13"/>
      <c r="E23" s="13"/>
    </row>
    <row r="24" spans="2:5" x14ac:dyDescent="0.3">
      <c r="B24" s="12"/>
      <c r="D24" s="13"/>
      <c r="E24" s="13"/>
    </row>
    <row r="25" spans="2:5" x14ac:dyDescent="0.3">
      <c r="B25" s="12"/>
      <c r="D25" s="13"/>
      <c r="E25" s="13"/>
    </row>
    <row r="26" spans="2:5" x14ac:dyDescent="0.3">
      <c r="B26" s="12"/>
      <c r="D26" s="13"/>
      <c r="E26" s="13"/>
    </row>
    <row r="27" spans="2:5" x14ac:dyDescent="0.3">
      <c r="B27" s="12"/>
      <c r="D27" s="13"/>
      <c r="E27" s="13"/>
    </row>
    <row r="28" spans="2:5" x14ac:dyDescent="0.3">
      <c r="D28" s="13"/>
      <c r="E28" s="13"/>
    </row>
    <row r="29" spans="2:5" x14ac:dyDescent="0.3">
      <c r="D29" s="13"/>
      <c r="E29" s="13"/>
    </row>
    <row r="30" spans="2:5" x14ac:dyDescent="0.3">
      <c r="D30" s="13"/>
      <c r="E30" s="13"/>
    </row>
    <row r="31" spans="2:5" x14ac:dyDescent="0.3">
      <c r="D31" s="13"/>
      <c r="E31" s="13"/>
    </row>
    <row r="32" spans="2:5" x14ac:dyDescent="0.3">
      <c r="D32" s="13"/>
      <c r="E32" s="13"/>
    </row>
    <row r="33" spans="4:5" x14ac:dyDescent="0.3">
      <c r="D33" s="13"/>
      <c r="E33" s="13"/>
    </row>
    <row r="34" spans="4:5" x14ac:dyDescent="0.3">
      <c r="D34" s="13"/>
      <c r="E34" s="13"/>
    </row>
    <row r="35" spans="4:5" x14ac:dyDescent="0.3">
      <c r="D35" s="13"/>
      <c r="E35" s="13"/>
    </row>
    <row r="36" spans="4:5" x14ac:dyDescent="0.3">
      <c r="D36" s="13"/>
      <c r="E36" s="13"/>
    </row>
    <row r="37" spans="4:5" x14ac:dyDescent="0.3">
      <c r="D37" s="13"/>
      <c r="E37" s="13"/>
    </row>
    <row r="38" spans="4:5" x14ac:dyDescent="0.3">
      <c r="D38" s="13"/>
      <c r="E38" s="13"/>
    </row>
    <row r="39" spans="4:5" x14ac:dyDescent="0.3">
      <c r="D39" s="13"/>
      <c r="E39" s="13"/>
    </row>
    <row r="40" spans="4:5" x14ac:dyDescent="0.3">
      <c r="D40" s="13"/>
      <c r="E40" s="13"/>
    </row>
  </sheetData>
  <mergeCells count="2">
    <mergeCell ref="B4:E4"/>
    <mergeCell ref="G4:J4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8"/>
  <sheetViews>
    <sheetView workbookViewId="0">
      <selection activeCell="F5" sqref="F5"/>
    </sheetView>
  </sheetViews>
  <sheetFormatPr defaultColWidth="9.1796875" defaultRowHeight="12.5" x14ac:dyDescent="0.25"/>
  <cols>
    <col min="1" max="1" width="2" style="30" customWidth="1"/>
    <col min="2" max="2" width="8.6328125" style="30" customWidth="1"/>
    <col min="3" max="3" width="14.1796875" style="30" customWidth="1"/>
    <col min="4" max="6" width="8.6328125" style="30" customWidth="1"/>
    <col min="7" max="7" width="12.6328125" style="30" customWidth="1"/>
    <col min="8" max="11" width="8.6328125" style="30" customWidth="1"/>
    <col min="12" max="12" width="13.26953125" style="30" customWidth="1"/>
    <col min="13" max="15" width="8.6328125" style="30" customWidth="1"/>
    <col min="16" max="16" width="12.7265625" style="30" customWidth="1"/>
    <col min="17" max="18" width="8.6328125" style="30" customWidth="1"/>
    <col min="19" max="16384" width="9.1796875" style="30"/>
  </cols>
  <sheetData>
    <row r="1" spans="2:18" ht="13" x14ac:dyDescent="0.3">
      <c r="B1" s="29" t="s">
        <v>3</v>
      </c>
    </row>
    <row r="2" spans="2:18" ht="7.5" customHeight="1" x14ac:dyDescent="0.25"/>
    <row r="3" spans="2:18" ht="13" x14ac:dyDescent="0.3">
      <c r="B3" s="2" t="s">
        <v>1</v>
      </c>
      <c r="C3" s="2"/>
      <c r="D3" s="2"/>
      <c r="E3" s="2"/>
      <c r="F3" s="2"/>
      <c r="G3" s="2"/>
      <c r="H3" s="2"/>
      <c r="I3" s="2"/>
      <c r="K3" s="2" t="s">
        <v>35</v>
      </c>
      <c r="L3" s="2"/>
      <c r="M3" s="2"/>
      <c r="N3" s="2"/>
      <c r="O3" s="2"/>
      <c r="P3" s="2"/>
      <c r="Q3" s="2"/>
      <c r="R3" s="2"/>
    </row>
    <row r="4" spans="2:18" ht="15.75" customHeight="1" thickBot="1" x14ac:dyDescent="0.35">
      <c r="B4" s="31" t="s">
        <v>8</v>
      </c>
      <c r="C4" s="31"/>
      <c r="D4" s="31"/>
      <c r="E4" s="31"/>
      <c r="F4" s="31"/>
      <c r="G4" s="31"/>
      <c r="H4" s="32" t="s">
        <v>9</v>
      </c>
      <c r="I4" s="32"/>
      <c r="K4" s="31" t="s">
        <v>27</v>
      </c>
      <c r="L4" s="31"/>
      <c r="M4" s="31"/>
      <c r="N4" s="31"/>
      <c r="O4" s="31"/>
      <c r="P4" s="31"/>
      <c r="Q4" s="31"/>
      <c r="R4" s="32" t="s">
        <v>28</v>
      </c>
    </row>
    <row r="5" spans="2:18" x14ac:dyDescent="0.25">
      <c r="E5" s="33"/>
      <c r="N5" s="33"/>
    </row>
    <row r="6" spans="2:18" x14ac:dyDescent="0.25">
      <c r="C6" s="34" t="s">
        <v>12</v>
      </c>
      <c r="D6" s="34"/>
      <c r="E6" s="35"/>
      <c r="G6" s="34" t="s">
        <v>11</v>
      </c>
      <c r="H6" s="34"/>
      <c r="L6" s="34" t="s">
        <v>20</v>
      </c>
      <c r="M6" s="34"/>
      <c r="N6" s="35"/>
      <c r="P6" s="34" t="s">
        <v>21</v>
      </c>
      <c r="Q6" s="34"/>
    </row>
    <row r="7" spans="2:18" x14ac:dyDescent="0.25">
      <c r="C7" s="36">
        <v>3000</v>
      </c>
      <c r="D7" s="30">
        <v>1000</v>
      </c>
      <c r="E7" s="35"/>
      <c r="G7" s="37"/>
      <c r="H7" s="30">
        <v>3000</v>
      </c>
      <c r="L7" s="36">
        <v>400</v>
      </c>
      <c r="N7" s="35"/>
      <c r="P7" s="37"/>
      <c r="Q7" s="30">
        <v>1200</v>
      </c>
    </row>
    <row r="8" spans="2:18" x14ac:dyDescent="0.25">
      <c r="C8" s="36">
        <v>1200</v>
      </c>
      <c r="D8" s="30">
        <v>250</v>
      </c>
      <c r="E8" s="35"/>
      <c r="G8" s="36"/>
      <c r="L8" s="36">
        <v>900</v>
      </c>
      <c r="N8" s="35"/>
      <c r="P8" s="36"/>
      <c r="Q8" s="30">
        <v>2700</v>
      </c>
    </row>
    <row r="9" spans="2:18" x14ac:dyDescent="0.25">
      <c r="C9" s="36">
        <v>2700</v>
      </c>
      <c r="D9" s="30">
        <v>150</v>
      </c>
      <c r="E9" s="35"/>
      <c r="G9" s="38"/>
      <c r="H9" s="39"/>
      <c r="L9" s="38"/>
      <c r="M9" s="39"/>
      <c r="N9" s="35"/>
      <c r="P9" s="38"/>
      <c r="Q9" s="39"/>
    </row>
    <row r="10" spans="2:18" ht="13" x14ac:dyDescent="0.3">
      <c r="C10" s="40"/>
      <c r="D10" s="41">
        <v>900</v>
      </c>
      <c r="E10" s="35"/>
      <c r="G10" s="42">
        <v>0</v>
      </c>
      <c r="H10" s="41">
        <f>H7</f>
        <v>3000</v>
      </c>
      <c r="L10" s="41">
        <f>SUM(L7:L8)</f>
        <v>1300</v>
      </c>
      <c r="M10" s="41">
        <v>0</v>
      </c>
      <c r="N10" s="35"/>
      <c r="P10" s="43">
        <v>0</v>
      </c>
      <c r="Q10" s="41">
        <f>SUM(Q7:Q8)</f>
        <v>3900</v>
      </c>
    </row>
    <row r="11" spans="2:18" x14ac:dyDescent="0.25">
      <c r="C11" s="38"/>
      <c r="D11" s="39">
        <v>200</v>
      </c>
      <c r="E11" s="35"/>
      <c r="G11" s="44" t="s">
        <v>29</v>
      </c>
      <c r="H11" s="44">
        <f>H10-G10</f>
        <v>3000</v>
      </c>
      <c r="L11" s="44" t="s">
        <v>29</v>
      </c>
      <c r="M11" s="44">
        <f>L10-M10</f>
        <v>1300</v>
      </c>
      <c r="N11" s="35"/>
      <c r="P11" s="44" t="s">
        <v>29</v>
      </c>
      <c r="Q11" s="44">
        <f>Q10-P10</f>
        <v>3900</v>
      </c>
    </row>
    <row r="12" spans="2:18" x14ac:dyDescent="0.25">
      <c r="C12" s="30">
        <f>SUM(C7:C9)</f>
        <v>6900</v>
      </c>
      <c r="D12" s="30">
        <f>SUM(D7:D11)</f>
        <v>2500</v>
      </c>
      <c r="E12" s="35"/>
      <c r="N12" s="35"/>
    </row>
    <row r="13" spans="2:18" x14ac:dyDescent="0.25">
      <c r="C13" s="44" t="s">
        <v>29</v>
      </c>
      <c r="D13" s="44">
        <f>C12-D12</f>
        <v>4400</v>
      </c>
      <c r="E13" s="35"/>
      <c r="G13" s="34" t="s">
        <v>17</v>
      </c>
      <c r="H13" s="34"/>
      <c r="L13" s="34" t="s">
        <v>23</v>
      </c>
      <c r="M13" s="34"/>
      <c r="N13" s="35"/>
    </row>
    <row r="14" spans="2:18" x14ac:dyDescent="0.25">
      <c r="E14" s="35"/>
      <c r="G14" s="36"/>
      <c r="H14" s="30">
        <v>250</v>
      </c>
      <c r="L14" s="36">
        <v>150</v>
      </c>
      <c r="N14" s="35"/>
    </row>
    <row r="15" spans="2:18" x14ac:dyDescent="0.25">
      <c r="C15" s="34" t="s">
        <v>14</v>
      </c>
      <c r="D15" s="34"/>
      <c r="E15" s="35"/>
      <c r="G15" s="36"/>
      <c r="L15" s="36">
        <v>200</v>
      </c>
      <c r="N15" s="35"/>
    </row>
    <row r="16" spans="2:18" x14ac:dyDescent="0.25">
      <c r="C16" s="36">
        <v>1000</v>
      </c>
      <c r="D16" s="30">
        <v>100</v>
      </c>
      <c r="E16" s="35"/>
      <c r="G16" s="38"/>
      <c r="H16" s="39"/>
      <c r="L16" s="38"/>
      <c r="M16" s="39"/>
      <c r="N16" s="35"/>
    </row>
    <row r="17" spans="3:14" x14ac:dyDescent="0.25">
      <c r="C17" s="36"/>
      <c r="E17" s="35"/>
      <c r="G17" s="30">
        <v>0</v>
      </c>
      <c r="H17" s="30">
        <f>H14</f>
        <v>250</v>
      </c>
      <c r="L17" s="41">
        <f>SUM(L14:L15)</f>
        <v>350</v>
      </c>
      <c r="M17" s="41">
        <v>0</v>
      </c>
      <c r="N17" s="35"/>
    </row>
    <row r="18" spans="3:14" x14ac:dyDescent="0.25">
      <c r="C18" s="38"/>
      <c r="D18" s="39"/>
      <c r="E18" s="35"/>
      <c r="G18" s="44" t="s">
        <v>29</v>
      </c>
      <c r="H18" s="44">
        <f>H17-G17</f>
        <v>250</v>
      </c>
      <c r="L18" s="44" t="s">
        <v>29</v>
      </c>
      <c r="M18" s="44">
        <f>L17-M17</f>
        <v>350</v>
      </c>
      <c r="N18" s="35"/>
    </row>
    <row r="19" spans="3:14" x14ac:dyDescent="0.25">
      <c r="C19" s="41">
        <f>C16</f>
        <v>1000</v>
      </c>
      <c r="D19" s="41">
        <f>D16</f>
        <v>100</v>
      </c>
      <c r="E19" s="35"/>
      <c r="N19" s="35"/>
    </row>
    <row r="20" spans="3:14" x14ac:dyDescent="0.25">
      <c r="C20" s="44" t="s">
        <v>29</v>
      </c>
      <c r="D20" s="44">
        <f>C19-D19</f>
        <v>900</v>
      </c>
      <c r="E20" s="35"/>
      <c r="L20" s="34" t="s">
        <v>26</v>
      </c>
      <c r="M20" s="34"/>
      <c r="N20" s="35"/>
    </row>
    <row r="21" spans="3:14" x14ac:dyDescent="0.25">
      <c r="E21" s="35"/>
      <c r="L21" s="36">
        <v>100</v>
      </c>
      <c r="N21" s="35"/>
    </row>
    <row r="22" spans="3:14" x14ac:dyDescent="0.25">
      <c r="C22" s="34" t="s">
        <v>18</v>
      </c>
      <c r="D22" s="34"/>
      <c r="E22" s="35"/>
      <c r="L22" s="36"/>
      <c r="N22" s="35"/>
    </row>
    <row r="23" spans="3:14" x14ac:dyDescent="0.25">
      <c r="C23" s="36">
        <v>500</v>
      </c>
      <c r="D23" s="30">
        <v>400</v>
      </c>
      <c r="E23" s="35"/>
      <c r="L23" s="38"/>
      <c r="M23" s="39"/>
      <c r="N23" s="35"/>
    </row>
    <row r="24" spans="3:14" x14ac:dyDescent="0.25">
      <c r="C24" s="36">
        <v>900</v>
      </c>
      <c r="D24" s="30">
        <v>900</v>
      </c>
      <c r="E24" s="35"/>
      <c r="L24" s="41">
        <f>SUM(L21:L22)</f>
        <v>100</v>
      </c>
      <c r="M24" s="30">
        <v>0</v>
      </c>
      <c r="N24" s="35"/>
    </row>
    <row r="25" spans="3:14" x14ac:dyDescent="0.25">
      <c r="C25" s="38"/>
      <c r="D25" s="39"/>
      <c r="E25" s="35"/>
      <c r="L25" s="44" t="s">
        <v>29</v>
      </c>
      <c r="M25" s="44">
        <f>L24-M24</f>
        <v>100</v>
      </c>
      <c r="N25" s="35"/>
    </row>
    <row r="26" spans="3:14" x14ac:dyDescent="0.25">
      <c r="C26" s="30">
        <f>SUM(C23:C24)</f>
        <v>1400</v>
      </c>
      <c r="D26" s="30">
        <f>SUM(D23:D24)</f>
        <v>1300</v>
      </c>
      <c r="E26" s="35"/>
      <c r="N26" s="35"/>
    </row>
    <row r="27" spans="3:14" x14ac:dyDescent="0.25">
      <c r="C27" s="44" t="s">
        <v>29</v>
      </c>
      <c r="D27" s="44">
        <f>C26-D26</f>
        <v>100</v>
      </c>
      <c r="E27" s="35"/>
      <c r="N27" s="35"/>
    </row>
    <row r="28" spans="3:14" x14ac:dyDescent="0.25">
      <c r="E28" s="35"/>
      <c r="N28" s="35"/>
    </row>
  </sheetData>
  <mergeCells count="11">
    <mergeCell ref="C22:D22"/>
    <mergeCell ref="L20:M20"/>
    <mergeCell ref="C15:D15"/>
    <mergeCell ref="G13:H13"/>
    <mergeCell ref="K3:R3"/>
    <mergeCell ref="L6:M6"/>
    <mergeCell ref="P6:Q6"/>
    <mergeCell ref="L13:M13"/>
    <mergeCell ref="B3:I3"/>
    <mergeCell ref="C6:D6"/>
    <mergeCell ref="G6:H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C3" sqref="C3:F3"/>
    </sheetView>
  </sheetViews>
  <sheetFormatPr defaultColWidth="9.1796875" defaultRowHeight="14" x14ac:dyDescent="0.3"/>
  <cols>
    <col min="1" max="1" width="2" style="4" customWidth="1"/>
    <col min="2" max="2" width="9.1796875" style="1"/>
    <col min="3" max="3" width="24.1796875" style="1" customWidth="1"/>
    <col min="4" max="4" width="9.1796875" style="1"/>
    <col min="5" max="5" width="24.453125" style="1" customWidth="1"/>
    <col min="6" max="16384" width="9.1796875" style="1"/>
  </cols>
  <sheetData>
    <row r="1" spans="2:6" s="4" customFormat="1" x14ac:dyDescent="0.3">
      <c r="B1" s="3" t="s">
        <v>1</v>
      </c>
    </row>
    <row r="2" spans="2:6" s="4" customFormat="1" x14ac:dyDescent="0.3"/>
    <row r="3" spans="2:6" x14ac:dyDescent="0.3">
      <c r="C3" s="8" t="s">
        <v>30</v>
      </c>
      <c r="D3" s="8"/>
      <c r="E3" s="8"/>
      <c r="F3" s="8"/>
    </row>
    <row r="4" spans="2:6" ht="14.5" customHeight="1" x14ac:dyDescent="0.3">
      <c r="C4" s="25" t="s">
        <v>31</v>
      </c>
      <c r="D4" s="25"/>
      <c r="E4" s="26" t="s">
        <v>9</v>
      </c>
      <c r="F4" s="26"/>
    </row>
    <row r="5" spans="2:6" x14ac:dyDescent="0.3">
      <c r="C5" s="1" t="s">
        <v>12</v>
      </c>
      <c r="D5" s="9">
        <f>'T-accounts'!D13</f>
        <v>4400</v>
      </c>
      <c r="E5" s="1" t="s">
        <v>32</v>
      </c>
      <c r="F5" s="1">
        <f>'T-accounts'!H18</f>
        <v>250</v>
      </c>
    </row>
    <row r="6" spans="2:6" x14ac:dyDescent="0.3">
      <c r="C6" s="1" t="s">
        <v>14</v>
      </c>
      <c r="D6" s="10">
        <f>'T-accounts'!D20</f>
        <v>900</v>
      </c>
    </row>
    <row r="7" spans="2:6" x14ac:dyDescent="0.3">
      <c r="C7" s="1" t="s">
        <v>16</v>
      </c>
      <c r="D7" s="10">
        <f>'T-accounts'!D27</f>
        <v>100</v>
      </c>
      <c r="E7" s="1" t="s">
        <v>11</v>
      </c>
      <c r="F7" s="17">
        <f>'T-accounts'!H11+'Income Statement'!C10</f>
        <v>5150</v>
      </c>
    </row>
    <row r="8" spans="2:6" x14ac:dyDescent="0.3">
      <c r="C8" s="23" t="s">
        <v>33</v>
      </c>
      <c r="D8" s="28">
        <f>SUM(D5:D7)</f>
        <v>5400</v>
      </c>
      <c r="E8" s="23" t="s">
        <v>34</v>
      </c>
      <c r="F8" s="23">
        <f>SUM(F5:F7)</f>
        <v>5400</v>
      </c>
    </row>
    <row r="9" spans="2:6" x14ac:dyDescent="0.3">
      <c r="D9" s="27"/>
    </row>
  </sheetData>
  <mergeCells count="2">
    <mergeCell ref="C3:F3"/>
    <mergeCell ref="E4:F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1"/>
  <sheetViews>
    <sheetView workbookViewId="0">
      <selection activeCell="B3" sqref="B3"/>
    </sheetView>
  </sheetViews>
  <sheetFormatPr defaultColWidth="9.1796875" defaultRowHeight="14" x14ac:dyDescent="0.3"/>
  <cols>
    <col min="1" max="1" width="2" style="4" customWidth="1"/>
    <col min="2" max="2" width="28.54296875" style="4" customWidth="1"/>
    <col min="3" max="3" width="11.7265625" style="4" bestFit="1" customWidth="1"/>
    <col min="4" max="16384" width="9.1796875" style="4"/>
  </cols>
  <sheetData>
    <row r="1" spans="2:17" x14ac:dyDescent="0.3">
      <c r="B1" s="3" t="s">
        <v>2</v>
      </c>
    </row>
    <row r="3" spans="2:17" x14ac:dyDescent="0.3">
      <c r="B3" s="15"/>
      <c r="C3" s="16"/>
    </row>
    <row r="4" spans="2:17" x14ac:dyDescent="0.3">
      <c r="B4" s="49" t="s">
        <v>2</v>
      </c>
      <c r="C4" s="50" t="s">
        <v>41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 x14ac:dyDescent="0.3">
      <c r="B5" s="1" t="s">
        <v>36</v>
      </c>
      <c r="C5" s="17">
        <f>'T-accounts'!Q11</f>
        <v>3900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 x14ac:dyDescent="0.3">
      <c r="B6" s="24" t="s">
        <v>37</v>
      </c>
      <c r="C6" s="45">
        <f>-'T-accounts'!M11</f>
        <v>-1300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2:17" x14ac:dyDescent="0.3">
      <c r="B7" s="15" t="s">
        <v>38</v>
      </c>
      <c r="C7" s="17">
        <f>SUM(C5:C6)</f>
        <v>2600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2:17" x14ac:dyDescent="0.3">
      <c r="B8" s="1" t="s">
        <v>23</v>
      </c>
      <c r="C8" s="17">
        <f>-'T-accounts'!M18</f>
        <v>-350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2:17" ht="14.5" thickBot="1" x14ac:dyDescent="0.35">
      <c r="B9" s="27" t="s">
        <v>39</v>
      </c>
      <c r="C9" s="46">
        <f>-'T-accounts'!M25</f>
        <v>-100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2:17" ht="14.5" thickBot="1" x14ac:dyDescent="0.35">
      <c r="B10" s="48" t="s">
        <v>40</v>
      </c>
      <c r="C10" s="47">
        <f>SUM(C7:C9)</f>
        <v>2150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2:17" ht="14.5" thickTop="1" x14ac:dyDescent="0.3">
      <c r="B11" s="1"/>
      <c r="C11" s="1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2:17" x14ac:dyDescent="0.3">
      <c r="B12" s="1"/>
      <c r="C12" s="1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2:17" x14ac:dyDescent="0.3">
      <c r="B13" s="1"/>
      <c r="C13" s="1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2:17" x14ac:dyDescent="0.3">
      <c r="B14" s="1"/>
      <c r="C14" s="1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2:17" x14ac:dyDescent="0.3">
      <c r="B15" s="1"/>
      <c r="C15" s="1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2:17" x14ac:dyDescent="0.3">
      <c r="B16" s="1"/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2:17" x14ac:dyDescent="0.3">
      <c r="B17" s="1"/>
      <c r="C17" s="1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7" x14ac:dyDescent="0.3">
      <c r="B18" s="1"/>
      <c r="C18" s="1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 x14ac:dyDescent="0.3">
      <c r="B19" s="1"/>
      <c r="C19" s="1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 x14ac:dyDescent="0.3">
      <c r="B20" s="1"/>
      <c r="C20" s="1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7" x14ac:dyDescent="0.3">
      <c r="B21" s="1"/>
      <c r="C21" s="1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7" x14ac:dyDescent="0.3">
      <c r="B22" s="1"/>
      <c r="C22" s="1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2:17" x14ac:dyDescent="0.3">
      <c r="B23" s="1"/>
      <c r="C23" s="1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2:17" x14ac:dyDescent="0.3">
      <c r="B24" s="1"/>
      <c r="C24" s="1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2:17" x14ac:dyDescent="0.3">
      <c r="B25" s="1"/>
      <c r="C25" s="1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2:17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2:17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2:17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2:17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2:17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2:17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Daybook</vt:lpstr>
      <vt:lpstr>T-accounts</vt:lpstr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Daivik Tapase</cp:lastModifiedBy>
  <dcterms:created xsi:type="dcterms:W3CDTF">2015-06-11T06:26:54Z</dcterms:created>
  <dcterms:modified xsi:type="dcterms:W3CDTF">2026-02-24T17:12:30Z</dcterms:modified>
</cp:coreProperties>
</file>