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6BEA0D69-BDCD-47FE-AEAE-A457BA1496D3}" xr6:coauthVersionLast="47" xr6:coauthVersionMax="47" xr10:uidLastSave="{00000000-0000-0000-0000-000000000000}"/>
  <bookViews>
    <workbookView xWindow="-110" yWindow="-110" windowWidth="19420" windowHeight="11020" firstSheet="2" activeTab="4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8" l="1"/>
  <c r="E12" i="8"/>
  <c r="C12" i="8"/>
  <c r="D10" i="8"/>
  <c r="E10" i="8"/>
  <c r="C10" i="8"/>
  <c r="E7" i="8"/>
  <c r="C7" i="8"/>
  <c r="D7" i="8"/>
  <c r="C5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<sst xmlns="http://schemas.openxmlformats.org/spreadsheetml/2006/main" count="182" uniqueCount="29">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</sst>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1" fontId="1" fillId="2" borderId="4" xfId="0" applyNumberFormat="1" applyFont="1" applyFill="1" applyBorder="1"/>
    <xf numFmtId="2" fontId="2" fillId="2" borderId="0" xfId="0" applyNumberFormat="1" applyFont="1" applyFill="1"/>
    <xf numFmtId="0" fontId="1" fillId="2" borderId="0" xfId="0" applyFont="1" applyFill="1"/>
    <xf numFmtId="1" fontId="1" fillId="2" borderId="0" xfId="0" applyNumberFormat="1" applyFont="1" applyFill="1"/>
    <xf numFmtId="0" fontId="1" fillId="2" borderId="1" xfId="0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23" t="s">
        <v>1</v>
      </c>
      <c r="G4" s="23" t="s">
        <v>2</v>
      </c>
      <c r="H4" s="23" t="s">
        <v>4</v>
      </c>
      <c r="I4" s="23" t="s">
        <v>14</v>
      </c>
      <c r="J4" s="23" t="s">
        <v>7</v>
      </c>
      <c r="K4" s="23" t="s">
        <v>8</v>
      </c>
      <c r="L4" s="23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2" style="1" customWidth="1"/>
    <col min="16" max="16" width="6.54296875" style="1" bestFit="1" customWidth="1"/>
    <col min="17" max="17" width="6.7265625" style="1" bestFit="1" customWidth="1"/>
    <col min="18" max="18" width="6.453125" style="1" bestFit="1" customWidth="1"/>
    <col min="19" max="19" width="6.81640625" style="1" bestFit="1" customWidth="1"/>
    <col min="20" max="21" width="6.54296875" style="1" bestFit="1" customWidth="1"/>
    <col min="22" max="23" width="6.7265625" style="1" bestFit="1" customWidth="1"/>
    <col min="24" max="24" width="6.453125" style="1" bestFit="1" customWidth="1"/>
    <col min="25" max="26" width="6.7265625" style="1" bestFit="1" customWidth="1"/>
    <col min="27" max="27" width="6.54296875" style="1" bestFit="1" customWidth="1"/>
    <col min="28" max="28" width="2" style="1" customWidth="1"/>
    <col min="29" max="30" width="6.54296875" style="1" bestFit="1" customWidth="1"/>
    <col min="31" max="31" width="6.7265625" style="1" bestFit="1" customWidth="1"/>
    <col min="32" max="32" width="6.453125" style="1" bestFit="1" customWidth="1"/>
    <col min="33" max="33" width="6.81640625" style="1" bestFit="1" customWidth="1"/>
    <col min="34" max="34" width="6.54296875" style="1" bestFit="1" customWidth="1"/>
    <col min="35" max="35" width="6" style="1" bestFit="1" customWidth="1"/>
    <col min="36" max="37" width="6.7265625" style="1" bestFit="1" customWidth="1"/>
    <col min="38" max="38" width="6.453125" style="1" bestFit="1" customWidth="1"/>
    <col min="39" max="40" width="6.7265625" style="1" bestFit="1" customWidth="1"/>
    <col min="41" max="16384" width="9.1796875" style="1"/>
  </cols>
  <sheetData>
    <row r="1" spans="2:40" ht="15.5" x14ac:dyDescent="0.35">
      <c r="B1" s="2" t="s">
        <v>16</v>
      </c>
      <c r="C1" s="2"/>
      <c r="D1" s="2"/>
    </row>
    <row r="4" spans="2:40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P4" s="11">
        <v>43861</v>
      </c>
      <c r="Q4" s="11">
        <v>43890</v>
      </c>
      <c r="R4" s="11">
        <v>43921</v>
      </c>
      <c r="S4" s="11">
        <v>43951</v>
      </c>
      <c r="T4" s="11">
        <v>43982</v>
      </c>
      <c r="U4" s="11">
        <v>44012</v>
      </c>
      <c r="V4" s="11">
        <v>44043</v>
      </c>
      <c r="W4" s="11">
        <v>44074</v>
      </c>
      <c r="X4" s="11">
        <v>44104</v>
      </c>
      <c r="Y4" s="11">
        <v>44135</v>
      </c>
      <c r="Z4" s="11">
        <v>44165</v>
      </c>
      <c r="AA4" s="11">
        <v>44196</v>
      </c>
      <c r="AC4" s="11">
        <v>44227</v>
      </c>
      <c r="AD4" s="11">
        <v>44255</v>
      </c>
      <c r="AE4" s="11">
        <v>44286</v>
      </c>
      <c r="AF4" s="11">
        <v>44316</v>
      </c>
      <c r="AG4" s="11">
        <v>44347</v>
      </c>
      <c r="AH4" s="11">
        <v>44377</v>
      </c>
      <c r="AI4" s="11">
        <v>44408</v>
      </c>
      <c r="AJ4" s="11">
        <v>44439</v>
      </c>
      <c r="AK4" s="11">
        <v>44469</v>
      </c>
      <c r="AL4" s="11">
        <v>44500</v>
      </c>
      <c r="AM4" s="11">
        <v>44530</v>
      </c>
      <c r="AN4" s="11">
        <v>44561</v>
      </c>
    </row>
    <row r="5" spans="2:40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P5" s="12">
        <f>SUMIF(Database!$D:$D,'1. Trend analysis'!P$4,Database!$F:$F)</f>
        <v>2660.0985011616999</v>
      </c>
      <c r="Q5" s="12">
        <f>SUMIF(Database!$D:$D,'1. Trend analysis'!Q$4,Database!$F:$F)</f>
        <v>2301.820609688868</v>
      </c>
      <c r="R5" s="12">
        <f>SUMIF(Database!$D:$D,'1. Trend analysis'!R$4,Database!$F:$F)</f>
        <v>2545.2376374103087</v>
      </c>
      <c r="S5" s="12">
        <f>SUMIF(Database!$D:$D,'1. Trend analysis'!S$4,Database!$F:$F)</f>
        <v>2850.2724207650704</v>
      </c>
      <c r="T5" s="12">
        <f>SUMIF(Database!$D:$D,'1. Trend analysis'!T$4,Database!$F:$F)</f>
        <v>3038.4310200419095</v>
      </c>
      <c r="U5" s="12">
        <f>SUMIF(Database!$D:$D,'1. Trend analysis'!U$4,Database!$F:$F)</f>
        <v>3081.4457503043245</v>
      </c>
      <c r="V5" s="12">
        <f>SUMIF(Database!$D:$D,'1. Trend analysis'!V$4,Database!$F:$F)</f>
        <v>3239.2990697390751</v>
      </c>
      <c r="W5" s="12">
        <f>SUMIF(Database!$D:$D,'1. Trend analysis'!W$4,Database!$F:$F)</f>
        <v>1844.6118688762529</v>
      </c>
      <c r="X5" s="12">
        <f>SUMIF(Database!$D:$D,'1. Trend analysis'!X$4,Database!$F:$F)</f>
        <v>2926.9243830603632</v>
      </c>
      <c r="Y5" s="12">
        <f>SUMIF(Database!$D:$D,'1. Trend analysis'!Y$4,Database!$F:$F)</f>
        <v>3382.5564278401821</v>
      </c>
      <c r="Z5" s="12">
        <f>SUMIF(Database!$D:$D,'1. Trend analysis'!Z$4,Database!$F:$F)</f>
        <v>3102.5376031076216</v>
      </c>
      <c r="AA5" s="12">
        <f>SUMIF(Database!$D:$D,'1. Trend analysis'!AA$4,Database!$F:$F)</f>
        <v>2853.3720012781246</v>
      </c>
      <c r="AC5" s="12">
        <f>SUMIF(Database!$D:$D,'1. Trend analysis'!AC$4,Database!$F:$F)</f>
        <v>3363.3852773606832</v>
      </c>
      <c r="AD5" s="12">
        <f>SUMIF(Database!$D:$D,'1. Trend analysis'!AD$4,Database!$F:$F)</f>
        <v>2896.4020535350955</v>
      </c>
      <c r="AE5" s="12">
        <f>SUMIF(Database!$D:$D,'1. Trend analysis'!AE$4,Database!$F:$F)</f>
        <v>3365.879258708992</v>
      </c>
      <c r="AF5" s="12">
        <f>SUMIF(Database!$D:$D,'1. Trend analysis'!AF$4,Database!$F:$F)</f>
        <v>3715.4704340513654</v>
      </c>
      <c r="AG5" s="12">
        <f>SUMIF(Database!$D:$D,'1. Trend analysis'!AG$4,Database!$F:$F)</f>
        <v>4039.0341221931335</v>
      </c>
      <c r="AH5" s="12">
        <f>SUMIF(Database!$D:$D,'1. Trend analysis'!AH$4,Database!$F:$F)</f>
        <v>3971.8638408805</v>
      </c>
      <c r="AI5" s="12">
        <f>SUMIF(Database!$D:$D,'1. Trend analysis'!AI$4,Database!$F:$F)</f>
        <v>4245.9215971449739</v>
      </c>
      <c r="AJ5" s="12">
        <f>SUMIF(Database!$D:$D,'1. Trend analysis'!AJ$4,Database!$F:$F)</f>
        <v>2486.2807465538858</v>
      </c>
      <c r="AK5" s="12">
        <f>SUMIF(Database!$D:$D,'1. Trend analysis'!AK$4,Database!$F:$F)</f>
        <v>3863.1103827011807</v>
      </c>
      <c r="AL5" s="12">
        <f>SUMIF(Database!$D:$D,'1. Trend analysis'!AL$4,Database!$F:$F)</f>
        <v>4289.1516580473954</v>
      </c>
      <c r="AM5" s="12">
        <f>SUMIF(Database!$D:$D,'1. Trend analysis'!AM$4,Database!$F:$F)</f>
        <v>4193.7394584541544</v>
      </c>
      <c r="AN5" s="12">
        <f>SUMIF(Database!$D:$D,'1. Trend analysis'!AN$4,Database!$F:$F)</f>
        <v>3799.390432295012</v>
      </c>
    </row>
    <row r="6" spans="2:40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P6" s="12">
        <f>-SUMIF(Database!$D:$D,'1. Trend analysis'!P$4,Database!$G:$G)</f>
        <v>596.71949207527507</v>
      </c>
      <c r="Q6" s="12">
        <f>-SUMIF(Database!$D:$D,'1. Trend analysis'!Q$4,Database!$G:$G)</f>
        <v>504.42901070568638</v>
      </c>
      <c r="R6" s="12">
        <f>-SUMIF(Database!$D:$D,'1. Trend analysis'!R$4,Database!$G:$G)</f>
        <v>596.36058786890646</v>
      </c>
      <c r="S6" s="12">
        <f>-SUMIF(Database!$D:$D,'1. Trend analysis'!S$4,Database!$G:$G)</f>
        <v>726.58170848780583</v>
      </c>
      <c r="T6" s="12">
        <f>-SUMIF(Database!$D:$D,'1. Trend analysis'!T$4,Database!$G:$G)</f>
        <v>705.03445476861111</v>
      </c>
      <c r="U6" s="12">
        <f>-SUMIF(Database!$D:$D,'1. Trend analysis'!U$4,Database!$G:$G)</f>
        <v>683.74813890747942</v>
      </c>
      <c r="V6" s="12">
        <f>-SUMIF(Database!$D:$D,'1. Trend analysis'!V$4,Database!$G:$G)</f>
        <v>612.10540577172105</v>
      </c>
      <c r="W6" s="12">
        <f>-SUMIF(Database!$D:$D,'1. Trend analysis'!W$4,Database!$G:$G)</f>
        <v>509.49498696850935</v>
      </c>
      <c r="X6" s="12">
        <f>-SUMIF(Database!$D:$D,'1. Trend analysis'!X$4,Database!$G:$G)</f>
        <v>716.91889176476468</v>
      </c>
      <c r="Y6" s="12">
        <f>-SUMIF(Database!$D:$D,'1. Trend analysis'!Y$4,Database!$G:$G)</f>
        <v>731.14755311591955</v>
      </c>
      <c r="Z6" s="12">
        <f>-SUMIF(Database!$D:$D,'1. Trend analysis'!Z$4,Database!$G:$G)</f>
        <v>590.71973108505404</v>
      </c>
      <c r="AA6" s="12">
        <f>-SUMIF(Database!$D:$D,'1. Trend analysis'!AA$4,Database!$G:$G)</f>
        <v>589.9854844016553</v>
      </c>
      <c r="AC6" s="12">
        <f>-SUMIF(Database!$D:$D,'1. Trend analysis'!AC$4,Database!$G:$G)</f>
        <v>830.40526365672724</v>
      </c>
      <c r="AD6" s="12">
        <f>-SUMIF(Database!$D:$D,'1. Trend analysis'!AD$4,Database!$G:$G)</f>
        <v>681.69872570104417</v>
      </c>
      <c r="AE6" s="12">
        <f>-SUMIF(Database!$D:$D,'1. Trend analysis'!AE$4,Database!$G:$G)</f>
        <v>881.25703792407626</v>
      </c>
      <c r="AF6" s="12">
        <f>-SUMIF(Database!$D:$D,'1. Trend analysis'!AF$4,Database!$G:$G)</f>
        <v>962.77009739234722</v>
      </c>
      <c r="AG6" s="12">
        <f>-SUMIF(Database!$D:$D,'1. Trend analysis'!AG$4,Database!$G:$G)</f>
        <v>984.26685700500332</v>
      </c>
      <c r="AH6" s="12">
        <f>-SUMIF(Database!$D:$D,'1. Trend analysis'!AH$4,Database!$G:$G)</f>
        <v>892.57693620058262</v>
      </c>
      <c r="AI6" s="12">
        <f>-SUMIF(Database!$D:$D,'1. Trend analysis'!AI$4,Database!$G:$G)</f>
        <v>849.00258706451814</v>
      </c>
      <c r="AJ6" s="12">
        <f>-SUMIF(Database!$D:$D,'1. Trend analysis'!AJ$4,Database!$G:$G)</f>
        <v>651.03464179819332</v>
      </c>
      <c r="AK6" s="12">
        <f>-SUMIF(Database!$D:$D,'1. Trend analysis'!AK$4,Database!$G:$G)</f>
        <v>969.92134547183161</v>
      </c>
      <c r="AL6" s="12">
        <f>-SUMIF(Database!$D:$D,'1. Trend analysis'!AL$4,Database!$G:$G)</f>
        <v>912.00556711908484</v>
      </c>
      <c r="AM6" s="12">
        <f>-SUMIF(Database!$D:$D,'1. Trend analysis'!AM$4,Database!$G:$G)</f>
        <v>886.19585760204654</v>
      </c>
      <c r="AN6" s="12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5.26953125" style="1" bestFit="1" customWidth="1"/>
    <col min="7" max="16384" width="9.1796875" style="1"/>
  </cols>
  <sheetData>
    <row r="1" spans="2:8" ht="15.5" x14ac:dyDescent="0.35">
      <c r="B1" s="2" t="s">
        <v>19</v>
      </c>
      <c r="C1" s="2"/>
      <c r="D1" s="2"/>
    </row>
    <row r="3" spans="2:8" x14ac:dyDescent="0.25">
      <c r="C3" s="1">
        <v>2020</v>
      </c>
      <c r="D3" s="1">
        <v>2020</v>
      </c>
      <c r="E3" s="1">
        <v>2020</v>
      </c>
      <c r="F3" s="1">
        <v>2020</v>
      </c>
    </row>
    <row r="4" spans="2:8" ht="12" thickBot="1" x14ac:dyDescent="0.3">
      <c r="B4" s="8" t="s">
        <v>17</v>
      </c>
      <c r="C4" s="13" t="s">
        <v>13</v>
      </c>
      <c r="D4" s="13" t="s">
        <v>10</v>
      </c>
      <c r="E4" s="13" t="s">
        <v>11</v>
      </c>
      <c r="F4" s="13" t="s">
        <v>12</v>
      </c>
    </row>
    <row r="5" spans="2:8" x14ac:dyDescent="0.25">
      <c r="B5" s="1" t="s">
        <v>1</v>
      </c>
      <c r="C5" s="12">
        <f>SUMIFS(Database!$F:$F,Database!$C:$C,'2. Comparative analysis'!C$3,Database!$E:$E,'2. Comparative analysis'!C$4)</f>
        <v>28425.842968554865</v>
      </c>
      <c r="D5" s="12">
        <f>SUMIFS(Database!$F:$F,Database!$C:$C,'2. Comparative analysis'!D$3,Database!$E:$E,'2. Comparative analysis'!D$4)</f>
        <v>1453.8325384615384</v>
      </c>
      <c r="E5" s="12">
        <f>SUMIFS(Database!$F:$F,Database!$C:$C,'2. Comparative analysis'!E$3,Database!$E:$E,'2. Comparative analysis'!E$4)</f>
        <v>2527.9539230769228</v>
      </c>
      <c r="F5" s="12">
        <f>SUMIFS(Database!$F:$F,Database!$C:$C,'2. Comparative analysis'!F$3,Database!$E:$E,'2. Comparative analysis'!F$4)</f>
        <v>1418.97786318047</v>
      </c>
      <c r="H5" s="12"/>
    </row>
    <row r="6" spans="2:8" x14ac:dyDescent="0.25">
      <c r="B6" s="1" t="s">
        <v>2</v>
      </c>
      <c r="C6" s="12">
        <f>SUMIFS(Database!$G:$G,Database!$C:$C,'2. Comparative analysis'!C$3,Database!$E:$E,'2. Comparative analysis'!C$4)</f>
        <v>-5741.8060487947223</v>
      </c>
      <c r="D6" s="12">
        <f>SUMIFS(Database!$G:$G,Database!$C:$C,'2. Comparative analysis'!D$3,Database!$E:$E,'2. Comparative analysis'!D$4)</f>
        <v>-365.53846153846149</v>
      </c>
      <c r="E6" s="12">
        <f>SUMIFS(Database!$G:$G,Database!$C:$C,'2. Comparative analysis'!E$3,Database!$E:$E,'2. Comparative analysis'!E$4)</f>
        <v>-475.38461538461524</v>
      </c>
      <c r="F6" s="12">
        <f>SUMIFS(Database!$G:$G,Database!$C:$C,'2. Comparative analysis'!F$3,Database!$E:$E,'2. Comparative analysis'!F$4)</f>
        <v>-980.51632020358954</v>
      </c>
      <c r="H6" s="12"/>
    </row>
    <row r="7" spans="2:8" x14ac:dyDescent="0.25">
      <c r="B7" s="1" t="s">
        <v>20</v>
      </c>
      <c r="C7" s="12">
        <f>SUM(C5:C6)</f>
        <v>22684.036919760143</v>
      </c>
      <c r="D7" s="12">
        <f t="shared" ref="D7:F7" si="0">SUM(D5:D6)</f>
        <v>1088.294076923077</v>
      </c>
      <c r="E7" s="12">
        <f t="shared" si="0"/>
        <v>2052.5693076923076</v>
      </c>
      <c r="F7" s="12">
        <f t="shared" si="0"/>
        <v>438.46154297688042</v>
      </c>
    </row>
    <row r="8" spans="2:8" x14ac:dyDescent="0.25">
      <c r="B8" s="14" t="s">
        <v>21</v>
      </c>
      <c r="C8" s="15">
        <f>C7/C5</f>
        <v>0.79800753648198219</v>
      </c>
      <c r="D8" s="15">
        <f>D7/D5</f>
        <v>0.74856907390085092</v>
      </c>
      <c r="E8" s="15">
        <f>E7/E5</f>
        <v>0.81194886067939231</v>
      </c>
      <c r="F8" s="15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tabSelected="1" zoomScale="120" zoomScaleNormal="120" workbookViewId="0">
      <selection activeCell="B3" sqref="B3"/>
    </sheetView>
  </sheetViews>
  <sheetFormatPr defaultColWidth="9.1796875" defaultRowHeight="11.5" x14ac:dyDescent="0.25"/>
  <cols>
    <col min="1" max="1" width="2" style="1" customWidth="1"/>
    <col min="2" max="2" width="16" style="1" customWidth="1"/>
    <col min="3" max="5" width="9.7265625" style="1" bestFit="1" customWidth="1"/>
    <col min="6" max="16384" width="9.1796875" style="1"/>
  </cols>
  <sheetData>
    <row r="1" spans="2:5" ht="15.5" x14ac:dyDescent="0.35">
      <c r="B1" s="2" t="s">
        <v>22</v>
      </c>
      <c r="C1" s="2"/>
      <c r="D1" s="2"/>
    </row>
    <row r="4" spans="2:5" ht="12" thickBot="1" x14ac:dyDescent="0.3">
      <c r="B4" s="8" t="s">
        <v>17</v>
      </c>
      <c r="C4" s="13" t="s">
        <v>23</v>
      </c>
      <c r="D4" s="13" t="s">
        <v>26</v>
      </c>
      <c r="E4" s="13" t="s">
        <v>27</v>
      </c>
    </row>
    <row r="5" spans="2:5" x14ac:dyDescent="0.25">
      <c r="B5" s="1" t="s">
        <v>24</v>
      </c>
      <c r="C5" s="12">
        <f>1.1*D5</f>
        <v>23256.062500000004</v>
      </c>
      <c r="D5" s="12">
        <v>21141.875</v>
      </c>
      <c r="E5" s="12">
        <f>D5*0.85</f>
        <v>17970.59375</v>
      </c>
    </row>
    <row r="6" spans="2:5" x14ac:dyDescent="0.25">
      <c r="B6" s="1" t="s">
        <v>25</v>
      </c>
      <c r="C6" s="4">
        <v>1.4</v>
      </c>
      <c r="D6" s="4">
        <v>1.6</v>
      </c>
      <c r="E6" s="4">
        <v>1.8</v>
      </c>
    </row>
    <row r="7" spans="2:5" x14ac:dyDescent="0.25">
      <c r="B7" s="16" t="s">
        <v>1</v>
      </c>
      <c r="C7" s="17">
        <f>C5*C6</f>
        <v>32558.487500000003</v>
      </c>
      <c r="D7" s="17">
        <f>D5*D6</f>
        <v>33827</v>
      </c>
      <c r="E7" s="17">
        <f>E5*E6</f>
        <v>32347.068750000002</v>
      </c>
    </row>
    <row r="8" spans="2:5" x14ac:dyDescent="0.25">
      <c r="B8" s="21"/>
      <c r="C8" s="22"/>
      <c r="D8" s="22"/>
      <c r="E8" s="22"/>
    </row>
    <row r="9" spans="2:5" x14ac:dyDescent="0.25">
      <c r="B9" s="1" t="s">
        <v>28</v>
      </c>
      <c r="C9" s="20">
        <v>-0.33</v>
      </c>
      <c r="D9" s="20">
        <v>-0.35</v>
      </c>
      <c r="E9" s="20">
        <v>-0.39</v>
      </c>
    </row>
    <row r="10" spans="2:5" x14ac:dyDescent="0.25">
      <c r="B10" s="16" t="s">
        <v>2</v>
      </c>
      <c r="C10" s="17">
        <f>C5*C9</f>
        <v>-7674.5006250000015</v>
      </c>
      <c r="D10" s="17">
        <f t="shared" ref="D10:E10" si="0">D5*D9</f>
        <v>-7399.6562499999991</v>
      </c>
      <c r="E10" s="17">
        <f t="shared" si="0"/>
        <v>-7008.5315625000003</v>
      </c>
    </row>
    <row r="12" spans="2:5" ht="12" thickBot="1" x14ac:dyDescent="0.3">
      <c r="B12" s="18" t="s">
        <v>20</v>
      </c>
      <c r="C12" s="19">
        <f>C7+C10</f>
        <v>24883.986875000002</v>
      </c>
      <c r="D12" s="19">
        <f t="shared" ref="D12:E12" si="1">D7+D10</f>
        <v>26427.34375</v>
      </c>
      <c r="E12" s="19">
        <f t="shared" si="1"/>
        <v>25338.537187500002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Analysis --&gt;</vt:lpstr>
      <vt:lpstr>1. Trend analysis</vt:lpstr>
      <vt:lpstr>2. Comparative analysis</vt:lpstr>
      <vt:lpstr>3. Value-based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2026-02-27T04:06:13Z</dcterms:modified>
</cp:coreProperties>
</file>