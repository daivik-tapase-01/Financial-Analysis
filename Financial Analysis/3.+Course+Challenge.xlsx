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Financial-Analysis\Financial Analysis\"/>
    </mc:Choice>
  </mc:AlternateContent>
  <xr:revisionPtr revIDLastSave="0" documentId="13_ncr:1_{EF4D409C-01C4-499B-B51B-235B4FFE29E2}" xr6:coauthVersionLast="47" xr6:coauthVersionMax="47" xr10:uidLastSave="{00000000-0000-0000-0000-000000000000}"/>
  <bookViews>
    <workbookView xWindow="-110" yWindow="-110" windowWidth="19420" windowHeight="11020" firstSheet="1" activeTab="5" xr2:uid="{00000000-000D-0000-FFFF-FFFF00000000}"/>
  </bookViews>
  <sheets>
    <sheet name="Case Study --&gt;" sheetId="15" r:id="rId1"/>
    <sheet name="Task 1" sheetId="16" r:id="rId2"/>
    <sheet name="Task 2" sheetId="17" r:id="rId3"/>
    <sheet name="Solutions --&gt;" sheetId="18" r:id="rId4"/>
    <sheet name="Task 1 - Solution" sheetId="19" r:id="rId5"/>
    <sheet name="Task 2 - Solution" sheetId="2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0" l="1"/>
  <c r="C13" i="20"/>
  <c r="N10" i="20"/>
  <c r="M10" i="20"/>
  <c r="L10" i="20"/>
  <c r="K10" i="20"/>
  <c r="J10" i="20"/>
  <c r="G10" i="20"/>
  <c r="F10" i="20"/>
  <c r="E10" i="20"/>
  <c r="D10" i="20"/>
  <c r="C10" i="20"/>
  <c r="H6" i="19"/>
  <c r="I7" i="19"/>
  <c r="I9" i="19"/>
  <c r="H7" i="19"/>
  <c r="H8" i="19"/>
  <c r="I8" i="19" s="1"/>
  <c r="G9" i="19" s="1"/>
  <c r="H9" i="19" s="1"/>
  <c r="G7" i="19"/>
  <c r="G8" i="19"/>
  <c r="G10" i="19"/>
  <c r="H10" i="19" s="1"/>
  <c r="I10" i="19" s="1"/>
  <c r="I6" i="19"/>
  <c r="G6" i="19"/>
  <c r="I5" i="19"/>
  <c r="H5" i="19"/>
  <c r="G5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5" i="19"/>
  <c r="C9" i="19"/>
  <c r="C6" i="19"/>
  <c r="G11" i="19" l="1"/>
  <c r="H11" i="19" s="1"/>
  <c r="I11" i="19"/>
  <c r="G12" i="19" l="1"/>
  <c r="H12" i="19" s="1"/>
  <c r="I12" i="19"/>
  <c r="G13" i="19" l="1"/>
  <c r="H13" i="19" s="1"/>
  <c r="I13" i="19" s="1"/>
  <c r="G14" i="19" l="1"/>
  <c r="H14" i="19" s="1"/>
  <c r="I14" i="19"/>
  <c r="G15" i="19" l="1"/>
  <c r="H15" i="19" s="1"/>
  <c r="I15" i="19" s="1"/>
  <c r="G16" i="19" l="1"/>
  <c r="H16" i="19" s="1"/>
  <c r="I16" i="19" s="1"/>
  <c r="G17" i="19" l="1"/>
  <c r="H17" i="19" s="1"/>
  <c r="I17" i="19"/>
  <c r="G18" i="19" l="1"/>
  <c r="H18" i="19" s="1"/>
  <c r="I18" i="19" s="1"/>
  <c r="G19" i="19" l="1"/>
  <c r="H19" i="19" s="1"/>
  <c r="I19" i="19" s="1"/>
  <c r="G20" i="19" l="1"/>
  <c r="H20" i="19" s="1"/>
  <c r="I20" i="19"/>
  <c r="G21" i="19" l="1"/>
  <c r="H21" i="19" s="1"/>
  <c r="I21" i="19" s="1"/>
  <c r="G22" i="19" l="1"/>
  <c r="H22" i="19" s="1"/>
  <c r="I22" i="19" s="1"/>
  <c r="G23" i="19" l="1"/>
  <c r="H23" i="19" s="1"/>
  <c r="I23" i="19" s="1"/>
  <c r="G24" i="19" l="1"/>
  <c r="H24" i="19" s="1"/>
  <c r="I24" i="19" s="1"/>
  <c r="G25" i="19" l="1"/>
  <c r="H25" i="19" s="1"/>
  <c r="I25" i="19"/>
  <c r="G26" i="19" l="1"/>
  <c r="H26" i="19" s="1"/>
  <c r="I26" i="19" s="1"/>
  <c r="G27" i="19" l="1"/>
  <c r="H27" i="19" s="1"/>
  <c r="I27" i="19"/>
  <c r="G28" i="19" l="1"/>
  <c r="H28" i="19" s="1"/>
  <c r="I28" i="19"/>
  <c r="I29" i="19" l="1"/>
  <c r="G29" i="19"/>
  <c r="H29" i="19" s="1"/>
  <c r="G30" i="19" l="1"/>
  <c r="H30" i="19" s="1"/>
  <c r="I30" i="19" s="1"/>
  <c r="G31" i="19" l="1"/>
  <c r="H31" i="19" s="1"/>
  <c r="I31" i="19" s="1"/>
  <c r="G32" i="19" l="1"/>
  <c r="H32" i="19" s="1"/>
  <c r="I32" i="19" s="1"/>
  <c r="G33" i="19" l="1"/>
  <c r="H33" i="19" s="1"/>
  <c r="I33" i="19" s="1"/>
  <c r="G34" i="19" l="1"/>
  <c r="H34" i="19" s="1"/>
  <c r="I34" i="19" s="1"/>
  <c r="G35" i="19" l="1"/>
  <c r="H35" i="19" s="1"/>
  <c r="I35" i="19"/>
  <c r="G36" i="19" l="1"/>
  <c r="H36" i="19" s="1"/>
  <c r="I36" i="19"/>
  <c r="I37" i="19" l="1"/>
  <c r="G37" i="19"/>
  <c r="H37" i="19" s="1"/>
  <c r="G38" i="19" l="1"/>
  <c r="H38" i="19" s="1"/>
  <c r="I38" i="19" s="1"/>
  <c r="G39" i="19" l="1"/>
  <c r="H39" i="19" s="1"/>
  <c r="I39" i="19" s="1"/>
  <c r="G40" i="19" l="1"/>
  <c r="H40" i="19" s="1"/>
  <c r="I40" i="19" s="1"/>
  <c r="G41" i="19" l="1"/>
  <c r="H41" i="19" s="1"/>
  <c r="I41" i="19"/>
  <c r="G42" i="19" l="1"/>
  <c r="H42" i="19" s="1"/>
  <c r="I42" i="19" s="1"/>
  <c r="G43" i="19" l="1"/>
  <c r="H43" i="19" s="1"/>
  <c r="I43" i="19"/>
  <c r="G44" i="19" l="1"/>
  <c r="H44" i="19" s="1"/>
  <c r="I44" i="19"/>
  <c r="G45" i="19" l="1"/>
  <c r="H45" i="19" s="1"/>
  <c r="I45" i="19" s="1"/>
  <c r="G46" i="19" l="1"/>
  <c r="H46" i="19" s="1"/>
  <c r="I46" i="19"/>
  <c r="G47" i="19" l="1"/>
  <c r="H47" i="19" s="1"/>
  <c r="I47" i="19" s="1"/>
  <c r="G48" i="19" l="1"/>
  <c r="H48" i="19" s="1"/>
  <c r="I48" i="19" s="1"/>
  <c r="G49" i="19" l="1"/>
  <c r="H49" i="19" s="1"/>
  <c r="I49" i="19"/>
  <c r="G50" i="19" l="1"/>
  <c r="H50" i="19" s="1"/>
  <c r="I50" i="19" s="1"/>
  <c r="G51" i="19" l="1"/>
  <c r="H51" i="19" s="1"/>
  <c r="I51" i="19"/>
  <c r="G52" i="19" l="1"/>
  <c r="H52" i="19" s="1"/>
  <c r="I52" i="19"/>
  <c r="I53" i="19" l="1"/>
  <c r="G53" i="19"/>
  <c r="H53" i="19" s="1"/>
  <c r="G54" i="19" l="1"/>
  <c r="H54" i="19" s="1"/>
  <c r="I54" i="19" s="1"/>
  <c r="G55" i="19" l="1"/>
  <c r="H55" i="19" s="1"/>
  <c r="I55" i="19" s="1"/>
  <c r="G56" i="19" l="1"/>
  <c r="H56" i="19" s="1"/>
  <c r="I56" i="19" s="1"/>
  <c r="G57" i="19" l="1"/>
  <c r="H57" i="19" s="1"/>
  <c r="I57" i="19"/>
  <c r="G58" i="19" l="1"/>
  <c r="H58" i="19" s="1"/>
  <c r="I58" i="19"/>
  <c r="G59" i="19" l="1"/>
  <c r="H59" i="19" s="1"/>
  <c r="I59" i="19"/>
  <c r="G60" i="19" l="1"/>
  <c r="H60" i="19" s="1"/>
  <c r="I60" i="19"/>
  <c r="G61" i="19" l="1"/>
  <c r="H61" i="19" s="1"/>
  <c r="I61" i="19" s="1"/>
  <c r="G62" i="19" l="1"/>
  <c r="H62" i="19" s="1"/>
  <c r="I62" i="19" s="1"/>
  <c r="I63" i="19" l="1"/>
  <c r="G63" i="19"/>
  <c r="H63" i="19" s="1"/>
  <c r="G64" i="19" l="1"/>
  <c r="H64" i="19" s="1"/>
  <c r="I64" i="19" s="1"/>
  <c r="G65" i="19" l="1"/>
  <c r="H65" i="19" s="1"/>
  <c r="I65" i="19" s="1"/>
  <c r="G66" i="19" l="1"/>
  <c r="H66" i="19" s="1"/>
  <c r="I66" i="19" s="1"/>
  <c r="G67" i="19" l="1"/>
  <c r="H67" i="19" s="1"/>
  <c r="I67" i="19" s="1"/>
  <c r="G68" i="19" l="1"/>
  <c r="H68" i="19" s="1"/>
  <c r="I68" i="19"/>
  <c r="G69" i="19" l="1"/>
  <c r="H69" i="19" s="1"/>
  <c r="I69" i="19" s="1"/>
  <c r="G70" i="19" l="1"/>
  <c r="H70" i="19" s="1"/>
  <c r="I70" i="19" s="1"/>
  <c r="G71" i="19" l="1"/>
  <c r="H71" i="19" s="1"/>
  <c r="I71" i="19" s="1"/>
  <c r="G72" i="19" l="1"/>
  <c r="H72" i="19" s="1"/>
  <c r="I72" i="19" s="1"/>
  <c r="G73" i="19" l="1"/>
  <c r="H73" i="19" s="1"/>
  <c r="I73" i="19"/>
  <c r="G74" i="19" l="1"/>
  <c r="H74" i="19" s="1"/>
  <c r="I74" i="19" s="1"/>
  <c r="G75" i="19" l="1"/>
  <c r="H75" i="19" s="1"/>
  <c r="I75" i="19"/>
  <c r="G76" i="19" l="1"/>
  <c r="H76" i="19" s="1"/>
  <c r="I76" i="19"/>
  <c r="G77" i="19" l="1"/>
  <c r="H77" i="19" s="1"/>
  <c r="I77" i="19" s="1"/>
  <c r="G78" i="19" l="1"/>
  <c r="H78" i="19" s="1"/>
  <c r="I78" i="19"/>
  <c r="G79" i="19" l="1"/>
  <c r="H79" i="19" s="1"/>
  <c r="I79" i="19" s="1"/>
  <c r="G80" i="19" l="1"/>
  <c r="H80" i="19" s="1"/>
  <c r="I80" i="19" s="1"/>
  <c r="G81" i="19" l="1"/>
  <c r="H81" i="19" s="1"/>
  <c r="I81" i="19" s="1"/>
  <c r="G82" i="19" l="1"/>
  <c r="H82" i="19" s="1"/>
  <c r="I82" i="19" s="1"/>
  <c r="G83" i="19" l="1"/>
  <c r="H83" i="19" s="1"/>
  <c r="I83" i="19"/>
  <c r="G84" i="19" l="1"/>
  <c r="H84" i="19" s="1"/>
  <c r="I84" i="19"/>
  <c r="G85" i="19" l="1"/>
  <c r="H85" i="19" s="1"/>
  <c r="I85" i="19" s="1"/>
  <c r="G86" i="19" l="1"/>
  <c r="H86" i="19" s="1"/>
  <c r="I86" i="19" s="1"/>
  <c r="G87" i="19" l="1"/>
  <c r="H87" i="19" s="1"/>
  <c r="I87" i="19" s="1"/>
  <c r="G88" i="19" l="1"/>
  <c r="H88" i="19" s="1"/>
  <c r="I88" i="19" s="1"/>
  <c r="G89" i="19" l="1"/>
  <c r="H89" i="19" s="1"/>
  <c r="I89" i="19"/>
  <c r="G90" i="19" l="1"/>
  <c r="H90" i="19" s="1"/>
  <c r="I90" i="19"/>
  <c r="G91" i="19" l="1"/>
  <c r="H91" i="19" s="1"/>
  <c r="I91" i="19"/>
  <c r="G92" i="19" l="1"/>
  <c r="H92" i="19" s="1"/>
  <c r="I92" i="19"/>
  <c r="G93" i="19" l="1"/>
  <c r="H93" i="19" s="1"/>
  <c r="I93" i="19" s="1"/>
  <c r="G94" i="19" l="1"/>
  <c r="H94" i="19" s="1"/>
  <c r="I94" i="19" s="1"/>
  <c r="G95" i="19" l="1"/>
  <c r="H95" i="19" s="1"/>
  <c r="I95" i="19" s="1"/>
  <c r="G96" i="19" l="1"/>
  <c r="H96" i="19" s="1"/>
  <c r="I96" i="19" s="1"/>
  <c r="G97" i="19" l="1"/>
  <c r="H97" i="19" s="1"/>
  <c r="I97" i="19"/>
  <c r="G98" i="19" l="1"/>
  <c r="H98" i="19" s="1"/>
  <c r="I98" i="19" s="1"/>
  <c r="G99" i="19" l="1"/>
  <c r="H99" i="19" s="1"/>
  <c r="I99" i="19" s="1"/>
  <c r="G100" i="19" l="1"/>
  <c r="H100" i="19" s="1"/>
  <c r="I100" i="19" s="1"/>
  <c r="G101" i="19" l="1"/>
  <c r="H101" i="19" s="1"/>
  <c r="I101" i="19" s="1"/>
  <c r="I102" i="19" l="1"/>
  <c r="G102" i="19"/>
  <c r="H102" i="19" s="1"/>
  <c r="G103" i="19" l="1"/>
  <c r="H103" i="19" s="1"/>
  <c r="I103" i="19" s="1"/>
  <c r="G104" i="19" l="1"/>
  <c r="H104" i="19" s="1"/>
  <c r="I104" i="19" s="1"/>
  <c r="G105" i="19" l="1"/>
  <c r="H105" i="19" s="1"/>
  <c r="I105" i="19"/>
  <c r="G106" i="19" l="1"/>
  <c r="H106" i="19" s="1"/>
  <c r="I106" i="19" s="1"/>
  <c r="G107" i="19" l="1"/>
  <c r="H107" i="19" s="1"/>
  <c r="I107" i="19"/>
  <c r="G108" i="19" l="1"/>
  <c r="H108" i="19" s="1"/>
  <c r="I108" i="19" s="1"/>
  <c r="G109" i="19" l="1"/>
  <c r="H109" i="19" s="1"/>
  <c r="I109" i="19" s="1"/>
  <c r="G110" i="19" l="1"/>
  <c r="H110" i="19" s="1"/>
  <c r="I110" i="19" s="1"/>
  <c r="G111" i="19" l="1"/>
  <c r="H111" i="19" s="1"/>
  <c r="I111" i="19" s="1"/>
  <c r="G112" i="19" l="1"/>
  <c r="H112" i="19" s="1"/>
  <c r="I112" i="19" s="1"/>
  <c r="G113" i="19" l="1"/>
  <c r="H113" i="19" s="1"/>
  <c r="I113" i="19"/>
  <c r="G114" i="19" l="1"/>
  <c r="H114" i="19" s="1"/>
  <c r="I114" i="19"/>
  <c r="G115" i="19" l="1"/>
  <c r="H115" i="19" s="1"/>
  <c r="I115" i="19"/>
  <c r="G116" i="19" l="1"/>
  <c r="H116" i="19" s="1"/>
  <c r="I116" i="19" s="1"/>
  <c r="G117" i="19" l="1"/>
  <c r="H117" i="19" s="1"/>
  <c r="I117" i="19" s="1"/>
  <c r="G118" i="19" l="1"/>
  <c r="H118" i="19" s="1"/>
  <c r="I118" i="19" s="1"/>
  <c r="G119" i="19" l="1"/>
  <c r="H119" i="19" s="1"/>
  <c r="I119" i="19" s="1"/>
  <c r="I120" i="19" l="1"/>
  <c r="G120" i="19"/>
  <c r="H120" i="19" s="1"/>
  <c r="G121" i="19" l="1"/>
  <c r="H121" i="19" s="1"/>
  <c r="I121" i="19"/>
  <c r="G122" i="19" l="1"/>
  <c r="H122" i="19" s="1"/>
  <c r="I122" i="19"/>
  <c r="G123" i="19" l="1"/>
  <c r="H123" i="19" s="1"/>
  <c r="I123" i="19"/>
  <c r="G124" i="19" l="1"/>
  <c r="H124" i="19" s="1"/>
  <c r="I124" i="19" s="1"/>
</calcChain>
</file>

<file path=xl/sharedStrings.xml><?xml version="1.0" encoding="utf-8"?>
<sst xmlns="http://schemas.openxmlformats.org/spreadsheetml/2006/main" count="40" uniqueCount="32">
  <si>
    <t>Case Study --&gt;</t>
  </si>
  <si>
    <t>Task:</t>
  </si>
  <si>
    <t>Solutions --&gt;</t>
  </si>
  <si>
    <t>Scenario 1:</t>
  </si>
  <si>
    <t>Scenario 2:</t>
  </si>
  <si>
    <t>Calculate the Present Value of the two scenarios below. Use a 9% interest rate for the calculation.</t>
  </si>
  <si>
    <t>Task 1 - Solution</t>
  </si>
  <si>
    <t>Number of periods</t>
  </si>
  <si>
    <t>Interest rate (annual)</t>
  </si>
  <si>
    <t>Interest rate (monthly)</t>
  </si>
  <si>
    <t>Outstanding loan at 31.12.15</t>
  </si>
  <si>
    <t>Monthly Payment</t>
  </si>
  <si>
    <t>Period</t>
  </si>
  <si>
    <t>Payment</t>
  </si>
  <si>
    <t>Interest</t>
  </si>
  <si>
    <t>Principal</t>
  </si>
  <si>
    <t>Residual Debt</t>
  </si>
  <si>
    <t>Task 2 - Solution</t>
  </si>
  <si>
    <t xml:space="preserve">Saldi, the company we are looking at, has an outstanding loan of $120,000,000 as of the end of 2015. The company agrees with its bank managers that it will repay its entire </t>
  </si>
  <si>
    <t>debt in the next 10 years, making constant monthly payments at 4% interest rate. Calculate the outstanding loan that Saldi will have at the end of year 5.</t>
  </si>
  <si>
    <t>Interest rate    (i)</t>
  </si>
  <si>
    <t>I Scenario:</t>
  </si>
  <si>
    <t>Year 1</t>
  </si>
  <si>
    <t>Year 2</t>
  </si>
  <si>
    <t>Year 3</t>
  </si>
  <si>
    <t>II Scenario:</t>
  </si>
  <si>
    <t>Cash flow</t>
  </si>
  <si>
    <t>Present Value</t>
  </si>
  <si>
    <t>Present Value I Scenario</t>
  </si>
  <si>
    <t>Present Value II Scenario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</si>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</sst>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* #,##0.00\ _л_в_._-;\-* #,##0.00\ _л_в_._-;_-* &quot;-&quot;??\ _л_в_._-;_-@_-"/>
    <numFmt numFmtId="165" formatCode="0.0%"/>
    <numFmt numFmtId="166" formatCode="_ * #,##0_ ;_ * \-#,##0_ ;_ * &quot;-&quot;??_ ;_ @_ "/>
  </numFmts>
  <fonts count="14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35"/>
      <color rgb="FF002060"/>
      <name val="Arial"/>
      <family val="2"/>
      <charset val="204"/>
    </font>
    <font>
      <sz val="11"/>
      <color theme="1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u/>
      <sz val="9"/>
      <color rgb="FF002060"/>
      <name val="Arial"/>
      <family val="2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1" xfId="0" applyFont="1" applyFill="1" applyBorder="1"/>
    <xf numFmtId="0" fontId="6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5" fillId="2" borderId="0" xfId="0" applyFont="1" applyFill="1"/>
    <xf numFmtId="0" fontId="7" fillId="2" borderId="0" xfId="0" applyFont="1" applyFill="1"/>
    <xf numFmtId="0" fontId="8" fillId="2" borderId="0" xfId="0" applyFont="1" applyFill="1"/>
    <xf numFmtId="9" fontId="1" fillId="2" borderId="0" xfId="0" applyNumberFormat="1" applyFont="1" applyFill="1"/>
    <xf numFmtId="165" fontId="1" fillId="2" borderId="0" xfId="4" applyNumberFormat="1" applyFont="1" applyFill="1"/>
    <xf numFmtId="166" fontId="1" fillId="2" borderId="0" xfId="3" applyNumberFormat="1" applyFont="1" applyFill="1"/>
    <xf numFmtId="0" fontId="10" fillId="2" borderId="0" xfId="0" applyFont="1" applyFill="1"/>
    <xf numFmtId="9" fontId="10" fillId="2" borderId="0" xfId="4" applyFont="1" applyFill="1"/>
    <xf numFmtId="0" fontId="11" fillId="2" borderId="0" xfId="0" applyFont="1" applyFill="1"/>
    <xf numFmtId="0" fontId="12" fillId="2" borderId="0" xfId="0" applyFont="1" applyFill="1"/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righ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1" fontId="11" fillId="2" borderId="0" xfId="0" applyNumberFormat="1" applyFont="1" applyFill="1"/>
    <xf numFmtId="0" fontId="10" fillId="5" borderId="0" xfId="0" applyFont="1" applyFill="1"/>
    <xf numFmtId="0" fontId="10" fillId="2" borderId="0" xfId="0" applyFont="1" applyFill="1" applyAlignment="1">
      <alignment horizontal="right"/>
    </xf>
    <xf numFmtId="166" fontId="11" fillId="2" borderId="0" xfId="3" applyNumberFormat="1" applyFont="1" applyFill="1" applyAlignment="1">
      <alignment horizontal="right"/>
    </xf>
    <xf numFmtId="166" fontId="11" fillId="2" borderId="0" xfId="0" applyNumberFormat="1" applyFont="1" applyFill="1" applyAlignment="1">
      <alignment horizontal="right"/>
    </xf>
    <xf numFmtId="166" fontId="11" fillId="5" borderId="0" xfId="3" applyNumberFormat="1" applyFont="1" applyFill="1" applyAlignment="1">
      <alignment horizontal="right"/>
    </xf>
  </cellXfs>
  <cellStyles count="5">
    <cellStyle name="Comma" xfId="3" builtinId="3"/>
    <cellStyle name="Comma 2" xfId="2" xr:uid="{00000000-0005-0000-0000-000000000000}"/>
    <cellStyle name="Normal" xfId="0" builtinId="0"/>
    <cellStyle name="Normal 2" xfId="1" xr:uid="{00000000-0005-0000-0000-000002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66675</xdr:rowOff>
    </xdr:from>
    <xdr:to>
      <xdr:col>8</xdr:col>
      <xdr:colOff>424366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23875"/>
          <a:ext cx="5101141" cy="333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9</xdr:row>
      <xdr:rowOff>104775</xdr:rowOff>
    </xdr:from>
    <xdr:to>
      <xdr:col>17</xdr:col>
      <xdr:colOff>153450</xdr:colOff>
      <xdr:row>25</xdr:row>
      <xdr:rowOff>95589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1504950"/>
          <a:ext cx="7525800" cy="2429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476249</xdr:colOff>
      <xdr:row>10</xdr:row>
      <xdr:rowOff>114300</xdr:rowOff>
    </xdr:from>
    <xdr:to>
      <xdr:col>11</xdr:col>
      <xdr:colOff>133350</xdr:colOff>
      <xdr:row>19</xdr:row>
      <xdr:rowOff>28525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4" y="1562100"/>
          <a:ext cx="4533901" cy="1285825"/>
        </a:xfrm>
        <a:prstGeom prst="rect">
          <a:avLst/>
        </a:prstGeom>
      </xdr:spPr>
    </xdr:pic>
    <xdr:clientData/>
  </xdr:twoCellAnchor>
  <xdr:twoCellAnchor editAs="oneCell">
    <xdr:from>
      <xdr:col>11</xdr:col>
      <xdr:colOff>352426</xdr:colOff>
      <xdr:row>10</xdr:row>
      <xdr:rowOff>114300</xdr:rowOff>
    </xdr:from>
    <xdr:to>
      <xdr:col>18</xdr:col>
      <xdr:colOff>480727</xdr:colOff>
      <xdr:row>19</xdr:row>
      <xdr:rowOff>27900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1" y="1562100"/>
          <a:ext cx="4395501" cy="128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J13"/>
  <sheetViews>
    <sheetView topLeftCell="A4" workbookViewId="0">
      <selection activeCell="K18" sqref="K18"/>
    </sheetView>
  </sheetViews>
  <sheetFormatPr defaultColWidth="9.1796875" defaultRowHeight="11.5" x14ac:dyDescent="0.25"/>
  <cols>
    <col min="1" max="16384" width="9.1796875" style="1"/>
  </cols>
  <sheetData>
    <row r="13" spans="10:10" ht="43.5" x14ac:dyDescent="0.85">
      <c r="J13" s="4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U30"/>
  <sheetViews>
    <sheetView workbookViewId="0">
      <selection activeCell="E21" sqref="E21"/>
    </sheetView>
  </sheetViews>
  <sheetFormatPr defaultColWidth="9.1796875" defaultRowHeight="11.5" x14ac:dyDescent="0.25"/>
  <cols>
    <col min="1" max="1" width="2" style="5" customWidth="1"/>
    <col min="2" max="2" width="9.1796875" style="5"/>
    <col min="3" max="3" width="0.453125" style="5" customWidth="1"/>
    <col min="4" max="20" width="9.1796875" style="5"/>
    <col min="21" max="21" width="0.453125" style="5" customWidth="1"/>
    <col min="22" max="16384" width="9.1796875" style="5"/>
  </cols>
  <sheetData>
    <row r="2" spans="1:47" s="1" customFormat="1" ht="2.25" customHeight="1" x14ac:dyDescent="0.25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s="1" customFormat="1" x14ac:dyDescent="0.25">
      <c r="A3" s="5"/>
      <c r="B3" s="5"/>
      <c r="C3" s="6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 s="1" customFormat="1" x14ac:dyDescent="0.25">
      <c r="A4" s="5"/>
      <c r="B4" s="5"/>
      <c r="C4" s="6"/>
      <c r="U4" s="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47" s="1" customFormat="1" ht="15.5" x14ac:dyDescent="0.35">
      <c r="A5" s="5"/>
      <c r="B5" s="5"/>
      <c r="C5" s="6"/>
      <c r="E5" s="2" t="s">
        <v>1</v>
      </c>
      <c r="U5" s="6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s="1" customFormat="1" x14ac:dyDescent="0.25">
      <c r="A6" s="5"/>
      <c r="B6" s="5"/>
      <c r="C6" s="6"/>
      <c r="U6" s="6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s="1" customFormat="1" x14ac:dyDescent="0.25">
      <c r="A7" s="5"/>
      <c r="B7" s="5"/>
      <c r="C7" s="6"/>
      <c r="E7" s="1" t="s">
        <v>18</v>
      </c>
      <c r="U7" s="6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s="1" customFormat="1" x14ac:dyDescent="0.25">
      <c r="A8" s="5"/>
      <c r="B8" s="5"/>
      <c r="C8" s="6"/>
      <c r="E8" s="1" t="s">
        <v>19</v>
      </c>
      <c r="U8" s="6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 s="1" customFormat="1" x14ac:dyDescent="0.25">
      <c r="A9" s="5"/>
      <c r="B9" s="5"/>
      <c r="C9" s="6"/>
      <c r="U9" s="6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s="1" customFormat="1" x14ac:dyDescent="0.25">
      <c r="A10" s="5"/>
      <c r="B10" s="5"/>
      <c r="C10" s="6"/>
      <c r="U10" s="6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 s="1" customFormat="1" x14ac:dyDescent="0.25">
      <c r="A11" s="5"/>
      <c r="B11" s="5"/>
      <c r="C11" s="6"/>
      <c r="U11" s="6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s="1" customFormat="1" x14ac:dyDescent="0.25">
      <c r="A12" s="5"/>
      <c r="B12" s="5"/>
      <c r="C12" s="6"/>
      <c r="U12" s="6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 s="1" customFormat="1" x14ac:dyDescent="0.25">
      <c r="A13" s="5"/>
      <c r="B13" s="5"/>
      <c r="C13" s="6"/>
      <c r="U13" s="6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s="1" customFormat="1" x14ac:dyDescent="0.25">
      <c r="A14" s="5"/>
      <c r="B14" s="5"/>
      <c r="C14" s="6"/>
      <c r="U14" s="6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s="1" customFormat="1" x14ac:dyDescent="0.25">
      <c r="A15" s="5"/>
      <c r="B15" s="5"/>
      <c r="C15" s="6"/>
      <c r="U15" s="6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s="1" customFormat="1" x14ac:dyDescent="0.25">
      <c r="A16" s="5"/>
      <c r="B16" s="5"/>
      <c r="C16" s="6"/>
      <c r="U16" s="6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s="1" customFormat="1" x14ac:dyDescent="0.25">
      <c r="A17" s="5"/>
      <c r="B17" s="5"/>
      <c r="C17" s="6"/>
      <c r="U17" s="6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s="1" customFormat="1" x14ac:dyDescent="0.25">
      <c r="A18" s="5"/>
      <c r="B18" s="5"/>
      <c r="C18" s="6"/>
      <c r="U18" s="6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s="1" customFormat="1" x14ac:dyDescent="0.25">
      <c r="A19" s="5"/>
      <c r="B19" s="5"/>
      <c r="C19" s="6"/>
      <c r="U19" s="6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s="1" customFormat="1" x14ac:dyDescent="0.25">
      <c r="A20" s="5"/>
      <c r="B20" s="5"/>
      <c r="C20" s="6"/>
      <c r="U20" s="6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s="1" customFormat="1" x14ac:dyDescent="0.25">
      <c r="A21" s="5"/>
      <c r="B21" s="5"/>
      <c r="C21" s="6"/>
      <c r="U21" s="6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s="1" customFormat="1" x14ac:dyDescent="0.25">
      <c r="A22" s="5"/>
      <c r="B22" s="5"/>
      <c r="C22" s="6"/>
      <c r="U22" s="6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s="1" customFormat="1" x14ac:dyDescent="0.25">
      <c r="A23" s="5"/>
      <c r="B23" s="5"/>
      <c r="C23" s="6"/>
      <c r="U23" s="6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s="1" customFormat="1" x14ac:dyDescent="0.25">
      <c r="A24" s="5"/>
      <c r="B24" s="5"/>
      <c r="C24" s="6"/>
      <c r="U24" s="6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s="1" customFormat="1" x14ac:dyDescent="0.25">
      <c r="A25" s="5"/>
      <c r="B25" s="5"/>
      <c r="C25" s="6"/>
      <c r="U25" s="6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s="1" customFormat="1" x14ac:dyDescent="0.25">
      <c r="A26" s="5"/>
      <c r="B26" s="5"/>
      <c r="C26" s="6"/>
      <c r="U26" s="6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s="1" customFormat="1" x14ac:dyDescent="0.25">
      <c r="A27" s="5"/>
      <c r="B27" s="5"/>
      <c r="C27" s="6"/>
      <c r="U27" s="6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s="1" customFormat="1" x14ac:dyDescent="0.25">
      <c r="A28" s="5"/>
      <c r="B28" s="5"/>
      <c r="C28" s="6"/>
      <c r="U28" s="6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spans="1:47" s="1" customFormat="1" ht="1.5" customHeight="1" x14ac:dyDescent="0.25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 ht="8.25" customHeight="1" x14ac:dyDescent="0.25"/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U30"/>
  <sheetViews>
    <sheetView workbookViewId="0">
      <selection activeCell="M22" sqref="M22"/>
    </sheetView>
  </sheetViews>
  <sheetFormatPr defaultColWidth="9.1796875" defaultRowHeight="11.5" x14ac:dyDescent="0.25"/>
  <cols>
    <col min="1" max="1" width="2" style="5" customWidth="1"/>
    <col min="2" max="2" width="9.1796875" style="5"/>
    <col min="3" max="3" width="0.453125" style="5" customWidth="1"/>
    <col min="4" max="20" width="9.1796875" style="5"/>
    <col min="21" max="21" width="0.453125" style="5" customWidth="1"/>
    <col min="22" max="16384" width="9.1796875" style="5"/>
  </cols>
  <sheetData>
    <row r="2" spans="1:47" s="1" customFormat="1" ht="2.25" customHeight="1" x14ac:dyDescent="0.25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s="1" customFormat="1" x14ac:dyDescent="0.25">
      <c r="A3" s="5"/>
      <c r="B3" s="5"/>
      <c r="C3" s="6"/>
      <c r="U3" s="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 s="1" customFormat="1" ht="15.5" x14ac:dyDescent="0.35">
      <c r="A4" s="5"/>
      <c r="B4" s="5"/>
      <c r="C4" s="6"/>
      <c r="E4" s="2" t="s">
        <v>1</v>
      </c>
      <c r="U4" s="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47" s="1" customFormat="1" x14ac:dyDescent="0.25">
      <c r="A5" s="5"/>
      <c r="B5" s="5"/>
      <c r="C5" s="6"/>
      <c r="U5" s="6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s="1" customFormat="1" x14ac:dyDescent="0.25">
      <c r="A6" s="5"/>
      <c r="B6" s="5"/>
      <c r="C6" s="6"/>
      <c r="E6" s="1" t="s">
        <v>5</v>
      </c>
      <c r="U6" s="6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s="1" customFormat="1" x14ac:dyDescent="0.25">
      <c r="A7" s="5"/>
      <c r="B7" s="5"/>
      <c r="C7" s="6"/>
      <c r="U7" s="6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s="1" customFormat="1" x14ac:dyDescent="0.25">
      <c r="A8" s="5"/>
      <c r="B8" s="5"/>
      <c r="C8" s="6"/>
      <c r="U8" s="6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 s="1" customFormat="1" x14ac:dyDescent="0.25">
      <c r="A9" s="5"/>
      <c r="B9" s="5"/>
      <c r="C9" s="6"/>
      <c r="U9" s="6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s="1" customFormat="1" x14ac:dyDescent="0.25">
      <c r="A10" s="5"/>
      <c r="B10" s="5"/>
      <c r="C10" s="6"/>
      <c r="E10" s="7" t="s">
        <v>3</v>
      </c>
      <c r="M10" s="7" t="s">
        <v>4</v>
      </c>
      <c r="U10" s="6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 s="1" customFormat="1" x14ac:dyDescent="0.25">
      <c r="A11" s="5"/>
      <c r="B11" s="5"/>
      <c r="C11" s="6"/>
      <c r="U11" s="6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s="1" customFormat="1" x14ac:dyDescent="0.25">
      <c r="A12" s="5"/>
      <c r="B12" s="5"/>
      <c r="C12" s="6"/>
      <c r="U12" s="6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 s="1" customFormat="1" x14ac:dyDescent="0.25">
      <c r="A13" s="5"/>
      <c r="B13" s="5"/>
      <c r="C13" s="6"/>
      <c r="U13" s="6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s="1" customFormat="1" x14ac:dyDescent="0.25">
      <c r="A14" s="5"/>
      <c r="B14" s="5"/>
      <c r="C14" s="6"/>
      <c r="U14" s="6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s="1" customFormat="1" x14ac:dyDescent="0.25">
      <c r="A15" s="5"/>
      <c r="B15" s="5"/>
      <c r="C15" s="6"/>
      <c r="U15" s="6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s="1" customFormat="1" x14ac:dyDescent="0.25">
      <c r="A16" s="5"/>
      <c r="B16" s="5"/>
      <c r="C16" s="6"/>
      <c r="U16" s="6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s="1" customFormat="1" x14ac:dyDescent="0.25">
      <c r="A17" s="5"/>
      <c r="B17" s="5"/>
      <c r="C17" s="6"/>
      <c r="U17" s="6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s="1" customFormat="1" x14ac:dyDescent="0.25">
      <c r="A18" s="5"/>
      <c r="B18" s="5"/>
      <c r="C18" s="6"/>
      <c r="U18" s="6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s="1" customFormat="1" x14ac:dyDescent="0.25">
      <c r="A19" s="5"/>
      <c r="B19" s="5"/>
      <c r="C19" s="6"/>
      <c r="U19" s="6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s="1" customFormat="1" x14ac:dyDescent="0.25">
      <c r="A20" s="5"/>
      <c r="B20" s="5"/>
      <c r="C20" s="6"/>
      <c r="U20" s="6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s="1" customFormat="1" x14ac:dyDescent="0.25">
      <c r="A21" s="5"/>
      <c r="B21" s="5"/>
      <c r="C21" s="6"/>
      <c r="U21" s="6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s="1" customFormat="1" x14ac:dyDescent="0.25">
      <c r="A22" s="5"/>
      <c r="B22" s="5"/>
      <c r="C22" s="6"/>
      <c r="U22" s="6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s="1" customFormat="1" x14ac:dyDescent="0.25">
      <c r="A23" s="5"/>
      <c r="B23" s="5"/>
      <c r="C23" s="6"/>
      <c r="U23" s="6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s="1" customFormat="1" x14ac:dyDescent="0.25">
      <c r="A24" s="5"/>
      <c r="B24" s="5"/>
      <c r="C24" s="6"/>
      <c r="U24" s="6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s="1" customFormat="1" x14ac:dyDescent="0.25">
      <c r="A25" s="5"/>
      <c r="B25" s="5"/>
      <c r="C25" s="6"/>
      <c r="U25" s="6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s="1" customFormat="1" x14ac:dyDescent="0.25">
      <c r="A26" s="5"/>
      <c r="B26" s="5"/>
      <c r="C26" s="6"/>
      <c r="U26" s="6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s="1" customFormat="1" x14ac:dyDescent="0.25">
      <c r="A27" s="5"/>
      <c r="B27" s="5"/>
      <c r="C27" s="6"/>
      <c r="U27" s="6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s="1" customFormat="1" x14ac:dyDescent="0.25">
      <c r="A28" s="5"/>
      <c r="B28" s="5"/>
      <c r="C28" s="6"/>
      <c r="U28" s="6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spans="1:47" s="1" customFormat="1" ht="1.5" customHeight="1" x14ac:dyDescent="0.25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 ht="8.25" customHeight="1" x14ac:dyDescent="0.2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B9"/>
  <sheetViews>
    <sheetView workbookViewId="0">
      <selection activeCell="D22" sqref="D22"/>
    </sheetView>
  </sheetViews>
  <sheetFormatPr defaultColWidth="9.1796875" defaultRowHeight="14" x14ac:dyDescent="0.3"/>
  <cols>
    <col min="1" max="1" width="2" style="8" customWidth="1"/>
    <col min="2" max="16384" width="9.1796875" style="8"/>
  </cols>
  <sheetData>
    <row r="9" spans="2:2" ht="50.5" x14ac:dyDescent="1">
      <c r="B9" s="9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24"/>
  <sheetViews>
    <sheetView zoomScale="115" zoomScaleNormal="115" workbookViewId="0">
      <selection activeCell="B3" sqref="B3"/>
    </sheetView>
  </sheetViews>
  <sheetFormatPr defaultColWidth="9.1796875" defaultRowHeight="11.5" x14ac:dyDescent="0.25"/>
  <cols>
    <col min="1" max="1" width="1" style="1" customWidth="1"/>
    <col min="2" max="2" width="24" style="1" bestFit="1" customWidth="1"/>
    <col min="3" max="3" width="14.08984375" style="1" bestFit="1" customWidth="1"/>
    <col min="4" max="4" width="9.1796875" style="1"/>
    <col min="5" max="9" width="14.1796875" style="1" customWidth="1"/>
    <col min="10" max="16384" width="9.1796875" style="1"/>
  </cols>
  <sheetData>
    <row r="1" spans="2:9" ht="15.5" x14ac:dyDescent="0.35">
      <c r="B1" s="2" t="s">
        <v>6</v>
      </c>
    </row>
    <row r="4" spans="2:9" ht="12" thickBot="1" x14ac:dyDescent="0.3">
      <c r="B4" s="1" t="s">
        <v>7</v>
      </c>
      <c r="C4" s="1">
        <v>120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2:9" x14ac:dyDescent="0.25">
      <c r="B5" s="1" t="s">
        <v>8</v>
      </c>
      <c r="C5" s="10">
        <v>0.04</v>
      </c>
      <c r="E5" s="1">
        <v>1</v>
      </c>
      <c r="F5" s="12">
        <f>$C$9</f>
        <v>1214941.657978578</v>
      </c>
      <c r="G5" s="12">
        <f>C7*C6</f>
        <v>400000</v>
      </c>
      <c r="H5" s="12">
        <f>F5-G5</f>
        <v>814941.657978578</v>
      </c>
      <c r="I5" s="12">
        <f>C7-H5</f>
        <v>119185058.34202142</v>
      </c>
    </row>
    <row r="6" spans="2:9" x14ac:dyDescent="0.25">
      <c r="B6" s="1" t="s">
        <v>9</v>
      </c>
      <c r="C6" s="11">
        <f>C5/12</f>
        <v>3.3333333333333335E-3</v>
      </c>
      <c r="E6" s="1">
        <v>2</v>
      </c>
      <c r="F6" s="12">
        <f t="shared" ref="F6:F69" si="0">$C$9</f>
        <v>1214941.657978578</v>
      </c>
      <c r="G6" s="12">
        <f>I5*$C$6</f>
        <v>397283.5278067381</v>
      </c>
      <c r="H6" s="12">
        <f>F6-G6</f>
        <v>817658.13017183985</v>
      </c>
      <c r="I6" s="12">
        <f>I5-H6</f>
        <v>118367400.21184959</v>
      </c>
    </row>
    <row r="7" spans="2:9" x14ac:dyDescent="0.25">
      <c r="B7" s="1" t="s">
        <v>10</v>
      </c>
      <c r="C7" s="12">
        <v>120000000</v>
      </c>
      <c r="E7" s="1">
        <v>3</v>
      </c>
      <c r="F7" s="12">
        <f t="shared" si="0"/>
        <v>1214941.657978578</v>
      </c>
      <c r="G7" s="12">
        <f t="shared" ref="G7:G70" si="1">I6*$C$6</f>
        <v>394558.00070616533</v>
      </c>
      <c r="H7" s="12">
        <f t="shared" ref="H7:H70" si="2">F7-G7</f>
        <v>820383.65727241267</v>
      </c>
      <c r="I7" s="12">
        <f t="shared" ref="I7:I70" si="3">I6-H7</f>
        <v>117547016.55457717</v>
      </c>
    </row>
    <row r="8" spans="2:9" x14ac:dyDescent="0.25">
      <c r="E8" s="1">
        <v>4</v>
      </c>
      <c r="F8" s="12">
        <f t="shared" si="0"/>
        <v>1214941.657978578</v>
      </c>
      <c r="G8" s="12">
        <f t="shared" si="1"/>
        <v>391823.38851525728</v>
      </c>
      <c r="H8" s="12">
        <f t="shared" si="2"/>
        <v>823118.26946332073</v>
      </c>
      <c r="I8" s="12">
        <f t="shared" si="3"/>
        <v>116723898.28511386</v>
      </c>
    </row>
    <row r="9" spans="2:9" x14ac:dyDescent="0.25">
      <c r="B9" s="7" t="s">
        <v>11</v>
      </c>
      <c r="C9" s="12">
        <f>-PMT(C6,C4,C7)</f>
        <v>1214941.657978578</v>
      </c>
      <c r="E9" s="1">
        <v>5</v>
      </c>
      <c r="F9" s="12">
        <f t="shared" si="0"/>
        <v>1214941.657978578</v>
      </c>
      <c r="G9" s="12">
        <f t="shared" si="1"/>
        <v>389079.66095037956</v>
      </c>
      <c r="H9" s="12">
        <f t="shared" si="2"/>
        <v>825861.99702819844</v>
      </c>
      <c r="I9" s="12">
        <f t="shared" si="3"/>
        <v>115898036.28808565</v>
      </c>
    </row>
    <row r="10" spans="2:9" x14ac:dyDescent="0.25">
      <c r="E10" s="1">
        <v>6</v>
      </c>
      <c r="F10" s="12">
        <f t="shared" si="0"/>
        <v>1214941.657978578</v>
      </c>
      <c r="G10" s="12">
        <f t="shared" si="1"/>
        <v>386326.78762695222</v>
      </c>
      <c r="H10" s="12">
        <f t="shared" si="2"/>
        <v>828614.87035162584</v>
      </c>
      <c r="I10" s="12">
        <f t="shared" si="3"/>
        <v>115069421.41773403</v>
      </c>
    </row>
    <row r="11" spans="2:9" x14ac:dyDescent="0.25">
      <c r="E11" s="1">
        <v>7</v>
      </c>
      <c r="F11" s="12">
        <f t="shared" si="0"/>
        <v>1214941.657978578</v>
      </c>
      <c r="G11" s="12">
        <f t="shared" si="1"/>
        <v>383564.73805911344</v>
      </c>
      <c r="H11" s="12">
        <f t="shared" si="2"/>
        <v>831376.9199194645</v>
      </c>
      <c r="I11" s="12">
        <f t="shared" si="3"/>
        <v>114238044.49781457</v>
      </c>
    </row>
    <row r="12" spans="2:9" x14ac:dyDescent="0.25">
      <c r="E12" s="1">
        <v>8</v>
      </c>
      <c r="F12" s="12">
        <f t="shared" si="0"/>
        <v>1214941.657978578</v>
      </c>
      <c r="G12" s="12">
        <f t="shared" si="1"/>
        <v>380793.48165938188</v>
      </c>
      <c r="H12" s="12">
        <f t="shared" si="2"/>
        <v>834148.17631919612</v>
      </c>
      <c r="I12" s="12">
        <f t="shared" si="3"/>
        <v>113403896.32149537</v>
      </c>
    </row>
    <row r="13" spans="2:9" x14ac:dyDescent="0.25">
      <c r="E13" s="1">
        <v>9</v>
      </c>
      <c r="F13" s="12">
        <f t="shared" si="0"/>
        <v>1214941.657978578</v>
      </c>
      <c r="G13" s="12">
        <f t="shared" si="1"/>
        <v>378012.98773831793</v>
      </c>
      <c r="H13" s="12">
        <f t="shared" si="2"/>
        <v>836928.67024026008</v>
      </c>
      <c r="I13" s="12">
        <f t="shared" si="3"/>
        <v>112566967.65125512</v>
      </c>
    </row>
    <row r="14" spans="2:9" x14ac:dyDescent="0.25">
      <c r="E14" s="1">
        <v>10</v>
      </c>
      <c r="F14" s="12">
        <f t="shared" si="0"/>
        <v>1214941.657978578</v>
      </c>
      <c r="G14" s="12">
        <f t="shared" si="1"/>
        <v>375223.22550418373</v>
      </c>
      <c r="H14" s="12">
        <f t="shared" si="2"/>
        <v>839718.43247439433</v>
      </c>
      <c r="I14" s="12">
        <f t="shared" si="3"/>
        <v>111727249.21878073</v>
      </c>
    </row>
    <row r="15" spans="2:9" x14ac:dyDescent="0.25">
      <c r="E15" s="1">
        <v>11</v>
      </c>
      <c r="F15" s="12">
        <f t="shared" si="0"/>
        <v>1214941.657978578</v>
      </c>
      <c r="G15" s="12">
        <f t="shared" si="1"/>
        <v>372424.16406260245</v>
      </c>
      <c r="H15" s="12">
        <f t="shared" si="2"/>
        <v>842517.49391597556</v>
      </c>
      <c r="I15" s="12">
        <f t="shared" si="3"/>
        <v>110884731.72486475</v>
      </c>
    </row>
    <row r="16" spans="2:9" x14ac:dyDescent="0.25">
      <c r="E16" s="1">
        <v>12</v>
      </c>
      <c r="F16" s="12">
        <f t="shared" si="0"/>
        <v>1214941.657978578</v>
      </c>
      <c r="G16" s="12">
        <f t="shared" si="1"/>
        <v>369615.77241621586</v>
      </c>
      <c r="H16" s="12">
        <f t="shared" si="2"/>
        <v>845325.88556236215</v>
      </c>
      <c r="I16" s="12">
        <f t="shared" si="3"/>
        <v>110039405.83930239</v>
      </c>
    </row>
    <row r="17" spans="5:9" x14ac:dyDescent="0.25">
      <c r="E17" s="1">
        <v>13</v>
      </c>
      <c r="F17" s="12">
        <f t="shared" si="0"/>
        <v>1214941.657978578</v>
      </c>
      <c r="G17" s="12">
        <f t="shared" si="1"/>
        <v>366798.01946434134</v>
      </c>
      <c r="H17" s="12">
        <f t="shared" si="2"/>
        <v>848143.63851423666</v>
      </c>
      <c r="I17" s="12">
        <f t="shared" si="3"/>
        <v>109191262.20078816</v>
      </c>
    </row>
    <row r="18" spans="5:9" x14ac:dyDescent="0.25">
      <c r="E18" s="1">
        <v>14</v>
      </c>
      <c r="F18" s="12">
        <f t="shared" si="0"/>
        <v>1214941.657978578</v>
      </c>
      <c r="G18" s="12">
        <f t="shared" si="1"/>
        <v>363970.87400262721</v>
      </c>
      <c r="H18" s="12">
        <f t="shared" si="2"/>
        <v>850970.78397595079</v>
      </c>
      <c r="I18" s="12">
        <f t="shared" si="3"/>
        <v>108340291.41681221</v>
      </c>
    </row>
    <row r="19" spans="5:9" x14ac:dyDescent="0.25">
      <c r="E19" s="1">
        <v>15</v>
      </c>
      <c r="F19" s="12">
        <f t="shared" si="0"/>
        <v>1214941.657978578</v>
      </c>
      <c r="G19" s="12">
        <f t="shared" si="1"/>
        <v>361134.30472270737</v>
      </c>
      <c r="H19" s="12">
        <f t="shared" si="2"/>
        <v>853807.35325587064</v>
      </c>
      <c r="I19" s="12">
        <f t="shared" si="3"/>
        <v>107486484.06355634</v>
      </c>
    </row>
    <row r="20" spans="5:9" x14ac:dyDescent="0.25">
      <c r="E20" s="1">
        <v>16</v>
      </c>
      <c r="F20" s="12">
        <f t="shared" si="0"/>
        <v>1214941.657978578</v>
      </c>
      <c r="G20" s="12">
        <f t="shared" si="1"/>
        <v>358288.28021185449</v>
      </c>
      <c r="H20" s="12">
        <f t="shared" si="2"/>
        <v>856653.37776672351</v>
      </c>
      <c r="I20" s="12">
        <f t="shared" si="3"/>
        <v>106629830.68578961</v>
      </c>
    </row>
    <row r="21" spans="5:9" x14ac:dyDescent="0.25">
      <c r="E21" s="1">
        <v>17</v>
      </c>
      <c r="F21" s="12">
        <f t="shared" si="0"/>
        <v>1214941.657978578</v>
      </c>
      <c r="G21" s="12">
        <f t="shared" si="1"/>
        <v>355432.76895263209</v>
      </c>
      <c r="H21" s="12">
        <f t="shared" si="2"/>
        <v>859508.88902594591</v>
      </c>
      <c r="I21" s="12">
        <f t="shared" si="3"/>
        <v>105770321.79676367</v>
      </c>
    </row>
    <row r="22" spans="5:9" x14ac:dyDescent="0.25">
      <c r="E22" s="1">
        <v>18</v>
      </c>
      <c r="F22" s="12">
        <f t="shared" si="0"/>
        <v>1214941.657978578</v>
      </c>
      <c r="G22" s="12">
        <f t="shared" si="1"/>
        <v>352567.73932254559</v>
      </c>
      <c r="H22" s="12">
        <f t="shared" si="2"/>
        <v>862373.91865603242</v>
      </c>
      <c r="I22" s="12">
        <f t="shared" si="3"/>
        <v>104907947.87810764</v>
      </c>
    </row>
    <row r="23" spans="5:9" x14ac:dyDescent="0.25">
      <c r="E23" s="1">
        <v>19</v>
      </c>
      <c r="F23" s="12">
        <f t="shared" si="0"/>
        <v>1214941.657978578</v>
      </c>
      <c r="G23" s="12">
        <f t="shared" si="1"/>
        <v>349693.15959369217</v>
      </c>
      <c r="H23" s="12">
        <f t="shared" si="2"/>
        <v>865248.49838488584</v>
      </c>
      <c r="I23" s="12">
        <f t="shared" si="3"/>
        <v>104042699.37972274</v>
      </c>
    </row>
    <row r="24" spans="5:9" x14ac:dyDescent="0.25">
      <c r="E24" s="1">
        <v>20</v>
      </c>
      <c r="F24" s="12">
        <f t="shared" si="0"/>
        <v>1214941.657978578</v>
      </c>
      <c r="G24" s="12">
        <f t="shared" si="1"/>
        <v>346808.99793240917</v>
      </c>
      <c r="H24" s="12">
        <f t="shared" si="2"/>
        <v>868132.66004616884</v>
      </c>
      <c r="I24" s="12">
        <f t="shared" si="3"/>
        <v>103174566.71967657</v>
      </c>
    </row>
    <row r="25" spans="5:9" x14ac:dyDescent="0.25">
      <c r="E25" s="1">
        <v>21</v>
      </c>
      <c r="F25" s="12">
        <f t="shared" si="0"/>
        <v>1214941.657978578</v>
      </c>
      <c r="G25" s="12">
        <f t="shared" si="1"/>
        <v>343915.22239892191</v>
      </c>
      <c r="H25" s="12">
        <f t="shared" si="2"/>
        <v>871026.43557965616</v>
      </c>
      <c r="I25" s="12">
        <f t="shared" si="3"/>
        <v>102303540.28409691</v>
      </c>
    </row>
    <row r="26" spans="5:9" x14ac:dyDescent="0.25">
      <c r="E26" s="1">
        <v>22</v>
      </c>
      <c r="F26" s="12">
        <f t="shared" si="0"/>
        <v>1214941.657978578</v>
      </c>
      <c r="G26" s="12">
        <f t="shared" si="1"/>
        <v>341011.80094698974</v>
      </c>
      <c r="H26" s="12">
        <f t="shared" si="2"/>
        <v>873929.85703158821</v>
      </c>
      <c r="I26" s="12">
        <f t="shared" si="3"/>
        <v>101429610.42706533</v>
      </c>
    </row>
    <row r="27" spans="5:9" x14ac:dyDescent="0.25">
      <c r="E27" s="1">
        <v>23</v>
      </c>
      <c r="F27" s="12">
        <f t="shared" si="0"/>
        <v>1214941.657978578</v>
      </c>
      <c r="G27" s="12">
        <f t="shared" si="1"/>
        <v>338098.70142355113</v>
      </c>
      <c r="H27" s="12">
        <f t="shared" si="2"/>
        <v>876842.95655502682</v>
      </c>
      <c r="I27" s="12">
        <f t="shared" si="3"/>
        <v>100552767.4705103</v>
      </c>
    </row>
    <row r="28" spans="5:9" x14ac:dyDescent="0.25">
      <c r="E28" s="1">
        <v>24</v>
      </c>
      <c r="F28" s="12">
        <f t="shared" si="0"/>
        <v>1214941.657978578</v>
      </c>
      <c r="G28" s="12">
        <f t="shared" si="1"/>
        <v>335175.89156836772</v>
      </c>
      <c r="H28" s="12">
        <f t="shared" si="2"/>
        <v>879765.76641021029</v>
      </c>
      <c r="I28" s="12">
        <f t="shared" si="3"/>
        <v>99673001.704100087</v>
      </c>
    </row>
    <row r="29" spans="5:9" x14ac:dyDescent="0.25">
      <c r="E29" s="1">
        <v>25</v>
      </c>
      <c r="F29" s="12">
        <f t="shared" si="0"/>
        <v>1214941.657978578</v>
      </c>
      <c r="G29" s="12">
        <f t="shared" si="1"/>
        <v>332243.33901366696</v>
      </c>
      <c r="H29" s="12">
        <f t="shared" si="2"/>
        <v>882698.31896491104</v>
      </c>
      <c r="I29" s="12">
        <f t="shared" si="3"/>
        <v>98790303.385135174</v>
      </c>
    </row>
    <row r="30" spans="5:9" x14ac:dyDescent="0.25">
      <c r="E30" s="1">
        <v>26</v>
      </c>
      <c r="F30" s="12">
        <f t="shared" si="0"/>
        <v>1214941.657978578</v>
      </c>
      <c r="G30" s="12">
        <f t="shared" si="1"/>
        <v>329301.01128378394</v>
      </c>
      <c r="H30" s="12">
        <f t="shared" si="2"/>
        <v>885640.64669479406</v>
      </c>
      <c r="I30" s="12">
        <f t="shared" si="3"/>
        <v>97904662.73844038</v>
      </c>
    </row>
    <row r="31" spans="5:9" x14ac:dyDescent="0.25">
      <c r="E31" s="1">
        <v>27</v>
      </c>
      <c r="F31" s="12">
        <f t="shared" si="0"/>
        <v>1214941.657978578</v>
      </c>
      <c r="G31" s="12">
        <f t="shared" si="1"/>
        <v>326348.87579480128</v>
      </c>
      <c r="H31" s="12">
        <f t="shared" si="2"/>
        <v>888592.78218377673</v>
      </c>
      <c r="I31" s="12">
        <f t="shared" si="3"/>
        <v>97016069.956256598</v>
      </c>
    </row>
    <row r="32" spans="5:9" x14ac:dyDescent="0.25">
      <c r="E32" s="1">
        <v>28</v>
      </c>
      <c r="F32" s="12">
        <f t="shared" si="0"/>
        <v>1214941.657978578</v>
      </c>
      <c r="G32" s="12">
        <f t="shared" si="1"/>
        <v>323386.89985418867</v>
      </c>
      <c r="H32" s="12">
        <f t="shared" si="2"/>
        <v>891554.75812438934</v>
      </c>
      <c r="I32" s="12">
        <f t="shared" si="3"/>
        <v>96124515.198132202</v>
      </c>
    </row>
    <row r="33" spans="5:9" x14ac:dyDescent="0.25">
      <c r="E33" s="1">
        <v>29</v>
      </c>
      <c r="F33" s="12">
        <f t="shared" si="0"/>
        <v>1214941.657978578</v>
      </c>
      <c r="G33" s="12">
        <f t="shared" si="1"/>
        <v>320415.0506604407</v>
      </c>
      <c r="H33" s="12">
        <f t="shared" si="2"/>
        <v>894526.60731813731</v>
      </c>
      <c r="I33" s="12">
        <f t="shared" si="3"/>
        <v>95229988.590814069</v>
      </c>
    </row>
    <row r="34" spans="5:9" x14ac:dyDescent="0.25">
      <c r="E34" s="1">
        <v>30</v>
      </c>
      <c r="F34" s="12">
        <f t="shared" si="0"/>
        <v>1214941.657978578</v>
      </c>
      <c r="G34" s="12">
        <f t="shared" si="1"/>
        <v>317433.29530271358</v>
      </c>
      <c r="H34" s="12">
        <f t="shared" si="2"/>
        <v>897508.36267586448</v>
      </c>
      <c r="I34" s="12">
        <f t="shared" si="3"/>
        <v>94332480.228138208</v>
      </c>
    </row>
    <row r="35" spans="5:9" x14ac:dyDescent="0.25">
      <c r="E35" s="1">
        <v>31</v>
      </c>
      <c r="F35" s="12">
        <f t="shared" si="0"/>
        <v>1214941.657978578</v>
      </c>
      <c r="G35" s="12">
        <f t="shared" si="1"/>
        <v>314441.60076046071</v>
      </c>
      <c r="H35" s="12">
        <f t="shared" si="2"/>
        <v>900500.05721811729</v>
      </c>
      <c r="I35" s="12">
        <f t="shared" si="3"/>
        <v>93431980.170920089</v>
      </c>
    </row>
    <row r="36" spans="5:9" x14ac:dyDescent="0.25">
      <c r="E36" s="1">
        <v>32</v>
      </c>
      <c r="F36" s="12">
        <f t="shared" si="0"/>
        <v>1214941.657978578</v>
      </c>
      <c r="G36" s="12">
        <f t="shared" si="1"/>
        <v>311439.93390306697</v>
      </c>
      <c r="H36" s="12">
        <f t="shared" si="2"/>
        <v>903501.7240755111</v>
      </c>
      <c r="I36" s="12">
        <f t="shared" si="3"/>
        <v>92528478.446844578</v>
      </c>
    </row>
    <row r="37" spans="5:9" x14ac:dyDescent="0.25">
      <c r="E37" s="1">
        <v>33</v>
      </c>
      <c r="F37" s="12">
        <f t="shared" si="0"/>
        <v>1214941.657978578</v>
      </c>
      <c r="G37" s="12">
        <f t="shared" si="1"/>
        <v>308428.26148948196</v>
      </c>
      <c r="H37" s="12">
        <f t="shared" si="2"/>
        <v>906513.39648909611</v>
      </c>
      <c r="I37" s="12">
        <f t="shared" si="3"/>
        <v>91621965.050355479</v>
      </c>
    </row>
    <row r="38" spans="5:9" x14ac:dyDescent="0.25">
      <c r="E38" s="1">
        <v>34</v>
      </c>
      <c r="F38" s="12">
        <f t="shared" si="0"/>
        <v>1214941.657978578</v>
      </c>
      <c r="G38" s="12">
        <f t="shared" si="1"/>
        <v>305406.55016785162</v>
      </c>
      <c r="H38" s="12">
        <f t="shared" si="2"/>
        <v>909535.10781072639</v>
      </c>
      <c r="I38" s="12">
        <f t="shared" si="3"/>
        <v>90712429.942544758</v>
      </c>
    </row>
    <row r="39" spans="5:9" x14ac:dyDescent="0.25">
      <c r="E39" s="1">
        <v>35</v>
      </c>
      <c r="F39" s="12">
        <f t="shared" si="0"/>
        <v>1214941.657978578</v>
      </c>
      <c r="G39" s="12">
        <f t="shared" si="1"/>
        <v>302374.7664751492</v>
      </c>
      <c r="H39" s="12">
        <f t="shared" si="2"/>
        <v>912566.89150342881</v>
      </c>
      <c r="I39" s="12">
        <f t="shared" si="3"/>
        <v>89799863.051041335</v>
      </c>
    </row>
    <row r="40" spans="5:9" x14ac:dyDescent="0.25">
      <c r="E40" s="1">
        <v>36</v>
      </c>
      <c r="F40" s="12">
        <f t="shared" si="0"/>
        <v>1214941.657978578</v>
      </c>
      <c r="G40" s="12">
        <f t="shared" si="1"/>
        <v>299332.87683680444</v>
      </c>
      <c r="H40" s="12">
        <f t="shared" si="2"/>
        <v>915608.78114177356</v>
      </c>
      <c r="I40" s="12">
        <f t="shared" si="3"/>
        <v>88884254.269899562</v>
      </c>
    </row>
    <row r="41" spans="5:9" x14ac:dyDescent="0.25">
      <c r="E41" s="1">
        <v>37</v>
      </c>
      <c r="F41" s="12">
        <f t="shared" si="0"/>
        <v>1214941.657978578</v>
      </c>
      <c r="G41" s="12">
        <f t="shared" si="1"/>
        <v>296280.84756633191</v>
      </c>
      <c r="H41" s="12">
        <f t="shared" si="2"/>
        <v>918660.81041224604</v>
      </c>
      <c r="I41" s="12">
        <f t="shared" si="3"/>
        <v>87965593.459487319</v>
      </c>
    </row>
    <row r="42" spans="5:9" x14ac:dyDescent="0.25">
      <c r="E42" s="1">
        <v>38</v>
      </c>
      <c r="F42" s="12">
        <f t="shared" si="0"/>
        <v>1214941.657978578</v>
      </c>
      <c r="G42" s="12">
        <f t="shared" si="1"/>
        <v>293218.64486495772</v>
      </c>
      <c r="H42" s="12">
        <f t="shared" si="2"/>
        <v>921723.01311362023</v>
      </c>
      <c r="I42" s="12">
        <f t="shared" si="3"/>
        <v>87043870.446373701</v>
      </c>
    </row>
    <row r="43" spans="5:9" x14ac:dyDescent="0.25">
      <c r="E43" s="1">
        <v>39</v>
      </c>
      <c r="F43" s="12">
        <f t="shared" si="0"/>
        <v>1214941.657978578</v>
      </c>
      <c r="G43" s="12">
        <f t="shared" si="1"/>
        <v>290146.23482124571</v>
      </c>
      <c r="H43" s="12">
        <f t="shared" si="2"/>
        <v>924795.42315733223</v>
      </c>
      <c r="I43" s="12">
        <f t="shared" si="3"/>
        <v>86119075.023216367</v>
      </c>
    </row>
    <row r="44" spans="5:9" x14ac:dyDescent="0.25">
      <c r="E44" s="1">
        <v>40</v>
      </c>
      <c r="F44" s="12">
        <f t="shared" si="0"/>
        <v>1214941.657978578</v>
      </c>
      <c r="G44" s="12">
        <f t="shared" si="1"/>
        <v>287063.58341072121</v>
      </c>
      <c r="H44" s="12">
        <f t="shared" si="2"/>
        <v>927878.07456785673</v>
      </c>
      <c r="I44" s="12">
        <f t="shared" si="3"/>
        <v>85191196.948648512</v>
      </c>
    </row>
    <row r="45" spans="5:9" x14ac:dyDescent="0.25">
      <c r="E45" s="1">
        <v>41</v>
      </c>
      <c r="F45" s="12">
        <f t="shared" si="0"/>
        <v>1214941.657978578</v>
      </c>
      <c r="G45" s="12">
        <f t="shared" si="1"/>
        <v>283970.65649549506</v>
      </c>
      <c r="H45" s="12">
        <f t="shared" si="2"/>
        <v>930971.001483083</v>
      </c>
      <c r="I45" s="12">
        <f t="shared" si="3"/>
        <v>84260225.94716543</v>
      </c>
    </row>
    <row r="46" spans="5:9" x14ac:dyDescent="0.25">
      <c r="E46" s="1">
        <v>42</v>
      </c>
      <c r="F46" s="12">
        <f t="shared" si="0"/>
        <v>1214941.657978578</v>
      </c>
      <c r="G46" s="12">
        <f t="shared" si="1"/>
        <v>280867.41982388479</v>
      </c>
      <c r="H46" s="12">
        <f t="shared" si="2"/>
        <v>934074.23815469327</v>
      </c>
      <c r="I46" s="12">
        <f t="shared" si="3"/>
        <v>83326151.709010735</v>
      </c>
    </row>
    <row r="47" spans="5:9" x14ac:dyDescent="0.25">
      <c r="E47" s="1">
        <v>43</v>
      </c>
      <c r="F47" s="12">
        <f t="shared" si="0"/>
        <v>1214941.657978578</v>
      </c>
      <c r="G47" s="12">
        <f t="shared" si="1"/>
        <v>277753.83903003583</v>
      </c>
      <c r="H47" s="12">
        <f t="shared" si="2"/>
        <v>937187.81894854223</v>
      </c>
      <c r="I47" s="12">
        <f t="shared" si="3"/>
        <v>82388963.890062198</v>
      </c>
    </row>
    <row r="48" spans="5:9" x14ac:dyDescent="0.25">
      <c r="E48" s="1">
        <v>44</v>
      </c>
      <c r="F48" s="12">
        <f t="shared" si="0"/>
        <v>1214941.657978578</v>
      </c>
      <c r="G48" s="12">
        <f t="shared" si="1"/>
        <v>274629.8796335407</v>
      </c>
      <c r="H48" s="12">
        <f t="shared" si="2"/>
        <v>940311.77834503725</v>
      </c>
      <c r="I48" s="12">
        <f t="shared" si="3"/>
        <v>81448652.111717165</v>
      </c>
    </row>
    <row r="49" spans="5:9" x14ac:dyDescent="0.25">
      <c r="E49" s="1">
        <v>45</v>
      </c>
      <c r="F49" s="12">
        <f t="shared" si="0"/>
        <v>1214941.657978578</v>
      </c>
      <c r="G49" s="12">
        <f t="shared" si="1"/>
        <v>271495.50703905721</v>
      </c>
      <c r="H49" s="12">
        <f t="shared" si="2"/>
        <v>943446.1509395208</v>
      </c>
      <c r="I49" s="12">
        <f t="shared" si="3"/>
        <v>80505205.96077764</v>
      </c>
    </row>
    <row r="50" spans="5:9" x14ac:dyDescent="0.25">
      <c r="E50" s="1">
        <v>46</v>
      </c>
      <c r="F50" s="12">
        <f t="shared" si="0"/>
        <v>1214941.657978578</v>
      </c>
      <c r="G50" s="12">
        <f t="shared" si="1"/>
        <v>268350.68653592549</v>
      </c>
      <c r="H50" s="12">
        <f t="shared" si="2"/>
        <v>946590.97144265252</v>
      </c>
      <c r="I50" s="12">
        <f t="shared" si="3"/>
        <v>79558614.989334986</v>
      </c>
    </row>
    <row r="51" spans="5:9" x14ac:dyDescent="0.25">
      <c r="E51" s="1">
        <v>47</v>
      </c>
      <c r="F51" s="12">
        <f t="shared" si="0"/>
        <v>1214941.657978578</v>
      </c>
      <c r="G51" s="12">
        <f t="shared" si="1"/>
        <v>265195.38329778332</v>
      </c>
      <c r="H51" s="12">
        <f t="shared" si="2"/>
        <v>949746.27468079468</v>
      </c>
      <c r="I51" s="12">
        <f t="shared" si="3"/>
        <v>78608868.714654192</v>
      </c>
    </row>
    <row r="52" spans="5:9" x14ac:dyDescent="0.25">
      <c r="E52" s="1">
        <v>48</v>
      </c>
      <c r="F52" s="12">
        <f t="shared" si="0"/>
        <v>1214941.657978578</v>
      </c>
      <c r="G52" s="12">
        <f t="shared" si="1"/>
        <v>262029.56238218065</v>
      </c>
      <c r="H52" s="12">
        <f t="shared" si="2"/>
        <v>952912.0955963973</v>
      </c>
      <c r="I52" s="12">
        <f t="shared" si="3"/>
        <v>77655956.619057789</v>
      </c>
    </row>
    <row r="53" spans="5:9" x14ac:dyDescent="0.25">
      <c r="E53" s="1">
        <v>49</v>
      </c>
      <c r="F53" s="12">
        <f t="shared" si="0"/>
        <v>1214941.657978578</v>
      </c>
      <c r="G53" s="12">
        <f t="shared" si="1"/>
        <v>258853.18873019266</v>
      </c>
      <c r="H53" s="12">
        <f t="shared" si="2"/>
        <v>956088.4692483854</v>
      </c>
      <c r="I53" s="12">
        <f t="shared" si="3"/>
        <v>76699868.149809405</v>
      </c>
    </row>
    <row r="54" spans="5:9" x14ac:dyDescent="0.25">
      <c r="E54" s="1">
        <v>50</v>
      </c>
      <c r="F54" s="12">
        <f t="shared" si="0"/>
        <v>1214941.657978578</v>
      </c>
      <c r="G54" s="12">
        <f t="shared" si="1"/>
        <v>255666.22716603137</v>
      </c>
      <c r="H54" s="12">
        <f t="shared" si="2"/>
        <v>959275.43081254663</v>
      </c>
      <c r="I54" s="12">
        <f t="shared" si="3"/>
        <v>75740592.718996853</v>
      </c>
    </row>
    <row r="55" spans="5:9" x14ac:dyDescent="0.25">
      <c r="E55" s="1">
        <v>51</v>
      </c>
      <c r="F55" s="12">
        <f t="shared" si="0"/>
        <v>1214941.657978578</v>
      </c>
      <c r="G55" s="12">
        <f t="shared" si="1"/>
        <v>252468.64239665619</v>
      </c>
      <c r="H55" s="12">
        <f t="shared" si="2"/>
        <v>962473.01558192179</v>
      </c>
      <c r="I55" s="12">
        <f t="shared" si="3"/>
        <v>74778119.703414932</v>
      </c>
    </row>
    <row r="56" spans="5:9" x14ac:dyDescent="0.25">
      <c r="E56" s="1">
        <v>52</v>
      </c>
      <c r="F56" s="12">
        <f t="shared" si="0"/>
        <v>1214941.657978578</v>
      </c>
      <c r="G56" s="12">
        <f t="shared" si="1"/>
        <v>249260.39901138312</v>
      </c>
      <c r="H56" s="12">
        <f t="shared" si="2"/>
        <v>965681.25896719494</v>
      </c>
      <c r="I56" s="12">
        <f t="shared" si="3"/>
        <v>73812438.444447741</v>
      </c>
    </row>
    <row r="57" spans="5:9" x14ac:dyDescent="0.25">
      <c r="E57" s="1">
        <v>53</v>
      </c>
      <c r="F57" s="12">
        <f t="shared" si="0"/>
        <v>1214941.657978578</v>
      </c>
      <c r="G57" s="12">
        <f t="shared" si="1"/>
        <v>246041.46148149247</v>
      </c>
      <c r="H57" s="12">
        <f t="shared" si="2"/>
        <v>968900.1964970855</v>
      </c>
      <c r="I57" s="12">
        <f t="shared" si="3"/>
        <v>72843538.247950658</v>
      </c>
    </row>
    <row r="58" spans="5:9" x14ac:dyDescent="0.25">
      <c r="E58" s="1">
        <v>54</v>
      </c>
      <c r="F58" s="12">
        <f t="shared" si="0"/>
        <v>1214941.657978578</v>
      </c>
      <c r="G58" s="12">
        <f t="shared" si="1"/>
        <v>242811.79415983555</v>
      </c>
      <c r="H58" s="12">
        <f t="shared" si="2"/>
        <v>972129.86381874245</v>
      </c>
      <c r="I58" s="12">
        <f t="shared" si="3"/>
        <v>71871408.384131908</v>
      </c>
    </row>
    <row r="59" spans="5:9" x14ac:dyDescent="0.25">
      <c r="E59" s="1">
        <v>55</v>
      </c>
      <c r="F59" s="12">
        <f t="shared" si="0"/>
        <v>1214941.657978578</v>
      </c>
      <c r="G59" s="12">
        <f t="shared" si="1"/>
        <v>239571.36128043971</v>
      </c>
      <c r="H59" s="12">
        <f t="shared" si="2"/>
        <v>975370.29669813835</v>
      </c>
      <c r="I59" s="12">
        <f t="shared" si="3"/>
        <v>70896038.08743377</v>
      </c>
    </row>
    <row r="60" spans="5:9" x14ac:dyDescent="0.25">
      <c r="E60" s="1">
        <v>56</v>
      </c>
      <c r="F60" s="12">
        <f t="shared" si="0"/>
        <v>1214941.657978578</v>
      </c>
      <c r="G60" s="12">
        <f t="shared" si="1"/>
        <v>236320.12695811258</v>
      </c>
      <c r="H60" s="12">
        <f t="shared" si="2"/>
        <v>978621.53102046542</v>
      </c>
      <c r="I60" s="12">
        <f t="shared" si="3"/>
        <v>69917416.556413308</v>
      </c>
    </row>
    <row r="61" spans="5:9" x14ac:dyDescent="0.25">
      <c r="E61" s="1">
        <v>57</v>
      </c>
      <c r="F61" s="12">
        <f t="shared" si="0"/>
        <v>1214941.657978578</v>
      </c>
      <c r="G61" s="12">
        <f t="shared" si="1"/>
        <v>233058.05518804438</v>
      </c>
      <c r="H61" s="12">
        <f t="shared" si="2"/>
        <v>981883.60279053356</v>
      </c>
      <c r="I61" s="12">
        <f t="shared" si="3"/>
        <v>68935532.953622773</v>
      </c>
    </row>
    <row r="62" spans="5:9" x14ac:dyDescent="0.25">
      <c r="E62" s="1">
        <v>58</v>
      </c>
      <c r="F62" s="12">
        <f t="shared" si="0"/>
        <v>1214941.657978578</v>
      </c>
      <c r="G62" s="12">
        <f t="shared" si="1"/>
        <v>229785.10984540926</v>
      </c>
      <c r="H62" s="12">
        <f t="shared" si="2"/>
        <v>985156.54813316872</v>
      </c>
      <c r="I62" s="12">
        <f t="shared" si="3"/>
        <v>67950376.405489609</v>
      </c>
    </row>
    <row r="63" spans="5:9" x14ac:dyDescent="0.25">
      <c r="E63" s="1">
        <v>59</v>
      </c>
      <c r="F63" s="12">
        <f t="shared" si="0"/>
        <v>1214941.657978578</v>
      </c>
      <c r="G63" s="12">
        <f t="shared" si="1"/>
        <v>226501.25468496539</v>
      </c>
      <c r="H63" s="12">
        <f t="shared" si="2"/>
        <v>988440.40329361265</v>
      </c>
      <c r="I63" s="12">
        <f t="shared" si="3"/>
        <v>66961936.002195999</v>
      </c>
    </row>
    <row r="64" spans="5:9" x14ac:dyDescent="0.25">
      <c r="E64" s="1">
        <v>60</v>
      </c>
      <c r="F64" s="12">
        <f t="shared" si="0"/>
        <v>1214941.657978578</v>
      </c>
      <c r="G64" s="12">
        <f t="shared" si="1"/>
        <v>223206.45334065333</v>
      </c>
      <c r="H64" s="12">
        <f t="shared" si="2"/>
        <v>991735.20463792467</v>
      </c>
      <c r="I64" s="12">
        <f t="shared" si="3"/>
        <v>65970200.797558077</v>
      </c>
    </row>
    <row r="65" spans="5:9" x14ac:dyDescent="0.25">
      <c r="E65" s="1">
        <v>61</v>
      </c>
      <c r="F65" s="12">
        <f t="shared" si="0"/>
        <v>1214941.657978578</v>
      </c>
      <c r="G65" s="12">
        <f t="shared" si="1"/>
        <v>219900.66932519359</v>
      </c>
      <c r="H65" s="12">
        <f t="shared" si="2"/>
        <v>995040.98865338438</v>
      </c>
      <c r="I65" s="12">
        <f t="shared" si="3"/>
        <v>64975159.808904693</v>
      </c>
    </row>
    <row r="66" spans="5:9" x14ac:dyDescent="0.25">
      <c r="E66" s="1">
        <v>62</v>
      </c>
      <c r="F66" s="12">
        <f t="shared" si="0"/>
        <v>1214941.657978578</v>
      </c>
      <c r="G66" s="12">
        <f t="shared" si="1"/>
        <v>216583.86602968234</v>
      </c>
      <c r="H66" s="12">
        <f t="shared" si="2"/>
        <v>998357.79194889567</v>
      </c>
      <c r="I66" s="12">
        <f t="shared" si="3"/>
        <v>63976802.0169558</v>
      </c>
    </row>
    <row r="67" spans="5:9" x14ac:dyDescent="0.25">
      <c r="E67" s="1">
        <v>63</v>
      </c>
      <c r="F67" s="12">
        <f t="shared" si="0"/>
        <v>1214941.657978578</v>
      </c>
      <c r="G67" s="12">
        <f t="shared" si="1"/>
        <v>213256.006723186</v>
      </c>
      <c r="H67" s="12">
        <f t="shared" si="2"/>
        <v>1001685.651255392</v>
      </c>
      <c r="I67" s="12">
        <f t="shared" si="3"/>
        <v>62975116.365700409</v>
      </c>
    </row>
    <row r="68" spans="5:9" x14ac:dyDescent="0.25">
      <c r="E68" s="1">
        <v>64</v>
      </c>
      <c r="F68" s="12">
        <f t="shared" si="0"/>
        <v>1214941.657978578</v>
      </c>
      <c r="G68" s="12">
        <f t="shared" si="1"/>
        <v>209917.05455233471</v>
      </c>
      <c r="H68" s="12">
        <f t="shared" si="2"/>
        <v>1005024.6034262433</v>
      </c>
      <c r="I68" s="12">
        <f t="shared" si="3"/>
        <v>61970091.762274168</v>
      </c>
    </row>
    <row r="69" spans="5:9" x14ac:dyDescent="0.25">
      <c r="E69" s="1">
        <v>65</v>
      </c>
      <c r="F69" s="12">
        <f t="shared" si="0"/>
        <v>1214941.657978578</v>
      </c>
      <c r="G69" s="12">
        <f t="shared" si="1"/>
        <v>206566.97254091391</v>
      </c>
      <c r="H69" s="12">
        <f t="shared" si="2"/>
        <v>1008374.6854376642</v>
      </c>
      <c r="I69" s="12">
        <f t="shared" si="3"/>
        <v>60961717.076836504</v>
      </c>
    </row>
    <row r="70" spans="5:9" x14ac:dyDescent="0.25">
      <c r="E70" s="1">
        <v>66</v>
      </c>
      <c r="F70" s="12">
        <f t="shared" ref="F70:F124" si="4">$C$9</f>
        <v>1214941.657978578</v>
      </c>
      <c r="G70" s="12">
        <f t="shared" si="1"/>
        <v>203205.72358945504</v>
      </c>
      <c r="H70" s="12">
        <f t="shared" si="2"/>
        <v>1011735.934389123</v>
      </c>
      <c r="I70" s="12">
        <f t="shared" si="3"/>
        <v>59949981.142447382</v>
      </c>
    </row>
    <row r="71" spans="5:9" x14ac:dyDescent="0.25">
      <c r="E71" s="1">
        <v>67</v>
      </c>
      <c r="F71" s="12">
        <f t="shared" si="4"/>
        <v>1214941.657978578</v>
      </c>
      <c r="G71" s="12">
        <f t="shared" ref="G71:G124" si="5">I70*$C$6</f>
        <v>199833.27047482462</v>
      </c>
      <c r="H71" s="12">
        <f t="shared" ref="H71:H124" si="6">F71-G71</f>
        <v>1015108.3875037534</v>
      </c>
      <c r="I71" s="12">
        <f t="shared" ref="I71:I124" si="7">I70-H71</f>
        <v>58934872.754943632</v>
      </c>
    </row>
    <row r="72" spans="5:9" x14ac:dyDescent="0.25">
      <c r="E72" s="1">
        <v>68</v>
      </c>
      <c r="F72" s="12">
        <f t="shared" si="4"/>
        <v>1214941.657978578</v>
      </c>
      <c r="G72" s="12">
        <f t="shared" si="5"/>
        <v>196449.57584981213</v>
      </c>
      <c r="H72" s="12">
        <f t="shared" si="6"/>
        <v>1018492.0821287659</v>
      </c>
      <c r="I72" s="12">
        <f t="shared" si="7"/>
        <v>57916380.672814868</v>
      </c>
    </row>
    <row r="73" spans="5:9" x14ac:dyDescent="0.25">
      <c r="E73" s="1">
        <v>69</v>
      </c>
      <c r="F73" s="12">
        <f t="shared" si="4"/>
        <v>1214941.657978578</v>
      </c>
      <c r="G73" s="12">
        <f t="shared" si="5"/>
        <v>193054.60224271624</v>
      </c>
      <c r="H73" s="12">
        <f t="shared" si="6"/>
        <v>1021887.0557358618</v>
      </c>
      <c r="I73" s="12">
        <f t="shared" si="7"/>
        <v>56894493.617079005</v>
      </c>
    </row>
    <row r="74" spans="5:9" x14ac:dyDescent="0.25">
      <c r="E74" s="1">
        <v>70</v>
      </c>
      <c r="F74" s="12">
        <f t="shared" si="4"/>
        <v>1214941.657978578</v>
      </c>
      <c r="G74" s="12">
        <f t="shared" si="5"/>
        <v>189648.31205693004</v>
      </c>
      <c r="H74" s="12">
        <f t="shared" si="6"/>
        <v>1025293.345921648</v>
      </c>
      <c r="I74" s="12">
        <f t="shared" si="7"/>
        <v>55869200.271157354</v>
      </c>
    </row>
    <row r="75" spans="5:9" x14ac:dyDescent="0.25">
      <c r="E75" s="1">
        <v>71</v>
      </c>
      <c r="F75" s="12">
        <f t="shared" si="4"/>
        <v>1214941.657978578</v>
      </c>
      <c r="G75" s="12">
        <f t="shared" si="5"/>
        <v>186230.66757052453</v>
      </c>
      <c r="H75" s="12">
        <f t="shared" si="6"/>
        <v>1028710.9904080535</v>
      </c>
      <c r="I75" s="12">
        <f t="shared" si="7"/>
        <v>54840489.280749299</v>
      </c>
    </row>
    <row r="76" spans="5:9" x14ac:dyDescent="0.25">
      <c r="E76" s="1">
        <v>72</v>
      </c>
      <c r="F76" s="12">
        <f t="shared" si="4"/>
        <v>1214941.657978578</v>
      </c>
      <c r="G76" s="12">
        <f t="shared" si="5"/>
        <v>182801.630935831</v>
      </c>
      <c r="H76" s="12">
        <f t="shared" si="6"/>
        <v>1032140.027042747</v>
      </c>
      <c r="I76" s="12">
        <f t="shared" si="7"/>
        <v>53808349.253706552</v>
      </c>
    </row>
    <row r="77" spans="5:9" x14ac:dyDescent="0.25">
      <c r="E77" s="1">
        <v>73</v>
      </c>
      <c r="F77" s="12">
        <f t="shared" si="4"/>
        <v>1214941.657978578</v>
      </c>
      <c r="G77" s="12">
        <f t="shared" si="5"/>
        <v>179361.16417902184</v>
      </c>
      <c r="H77" s="12">
        <f t="shared" si="6"/>
        <v>1035580.4937995562</v>
      </c>
      <c r="I77" s="12">
        <f t="shared" si="7"/>
        <v>52772768.759906992</v>
      </c>
    </row>
    <row r="78" spans="5:9" x14ac:dyDescent="0.25">
      <c r="E78" s="1">
        <v>74</v>
      </c>
      <c r="F78" s="12">
        <f t="shared" si="4"/>
        <v>1214941.657978578</v>
      </c>
      <c r="G78" s="12">
        <f t="shared" si="5"/>
        <v>175909.22919968999</v>
      </c>
      <c r="H78" s="12">
        <f t="shared" si="6"/>
        <v>1039032.428778888</v>
      </c>
      <c r="I78" s="12">
        <f t="shared" si="7"/>
        <v>51733736.331128106</v>
      </c>
    </row>
    <row r="79" spans="5:9" x14ac:dyDescent="0.25">
      <c r="E79" s="1">
        <v>75</v>
      </c>
      <c r="F79" s="12">
        <f t="shared" si="4"/>
        <v>1214941.657978578</v>
      </c>
      <c r="G79" s="12">
        <f t="shared" si="5"/>
        <v>172445.78777042704</v>
      </c>
      <c r="H79" s="12">
        <f t="shared" si="6"/>
        <v>1042495.8702081509</v>
      </c>
      <c r="I79" s="12">
        <f t="shared" si="7"/>
        <v>50691240.460919954</v>
      </c>
    </row>
    <row r="80" spans="5:9" x14ac:dyDescent="0.25">
      <c r="E80" s="1">
        <v>76</v>
      </c>
      <c r="F80" s="12">
        <f t="shared" si="4"/>
        <v>1214941.657978578</v>
      </c>
      <c r="G80" s="12">
        <f t="shared" si="5"/>
        <v>168970.80153639987</v>
      </c>
      <c r="H80" s="12">
        <f t="shared" si="6"/>
        <v>1045970.8564421781</v>
      </c>
      <c r="I80" s="12">
        <f t="shared" si="7"/>
        <v>49645269.604477778</v>
      </c>
    </row>
    <row r="81" spans="5:9" x14ac:dyDescent="0.25">
      <c r="E81" s="1">
        <v>77</v>
      </c>
      <c r="F81" s="12">
        <f t="shared" si="4"/>
        <v>1214941.657978578</v>
      </c>
      <c r="G81" s="12">
        <f t="shared" si="5"/>
        <v>165484.23201492595</v>
      </c>
      <c r="H81" s="12">
        <f t="shared" si="6"/>
        <v>1049457.4259636521</v>
      </c>
      <c r="I81" s="12">
        <f t="shared" si="7"/>
        <v>48595812.178514123</v>
      </c>
    </row>
    <row r="82" spans="5:9" x14ac:dyDescent="0.25">
      <c r="E82" s="1">
        <v>78</v>
      </c>
      <c r="F82" s="12">
        <f t="shared" si="4"/>
        <v>1214941.657978578</v>
      </c>
      <c r="G82" s="12">
        <f t="shared" si="5"/>
        <v>161986.04059504709</v>
      </c>
      <c r="H82" s="12">
        <f t="shared" si="6"/>
        <v>1052955.6173835308</v>
      </c>
      <c r="I82" s="12">
        <f t="shared" si="7"/>
        <v>47542856.561130591</v>
      </c>
    </row>
    <row r="83" spans="5:9" x14ac:dyDescent="0.25">
      <c r="E83" s="1">
        <v>79</v>
      </c>
      <c r="F83" s="12">
        <f t="shared" si="4"/>
        <v>1214941.657978578</v>
      </c>
      <c r="G83" s="12">
        <f t="shared" si="5"/>
        <v>158476.18853710199</v>
      </c>
      <c r="H83" s="12">
        <f t="shared" si="6"/>
        <v>1056465.469441476</v>
      </c>
      <c r="I83" s="12">
        <f t="shared" si="7"/>
        <v>46486391.091689117</v>
      </c>
    </row>
    <row r="84" spans="5:9" x14ac:dyDescent="0.25">
      <c r="E84" s="1">
        <v>80</v>
      </c>
      <c r="F84" s="12">
        <f t="shared" si="4"/>
        <v>1214941.657978578</v>
      </c>
      <c r="G84" s="12">
        <f t="shared" si="5"/>
        <v>154954.63697229707</v>
      </c>
      <c r="H84" s="12">
        <f t="shared" si="6"/>
        <v>1059987.021006281</v>
      </c>
      <c r="I84" s="12">
        <f t="shared" si="7"/>
        <v>45426404.070682839</v>
      </c>
    </row>
    <row r="85" spans="5:9" x14ac:dyDescent="0.25">
      <c r="E85" s="1">
        <v>81</v>
      </c>
      <c r="F85" s="12">
        <f t="shared" si="4"/>
        <v>1214941.657978578</v>
      </c>
      <c r="G85" s="12">
        <f t="shared" si="5"/>
        <v>151421.34690227613</v>
      </c>
      <c r="H85" s="12">
        <f t="shared" si="6"/>
        <v>1063520.3110763018</v>
      </c>
      <c r="I85" s="12">
        <f t="shared" si="7"/>
        <v>44362883.75960654</v>
      </c>
    </row>
    <row r="86" spans="5:9" x14ac:dyDescent="0.25">
      <c r="E86" s="1">
        <v>82</v>
      </c>
      <c r="F86" s="12">
        <f t="shared" si="4"/>
        <v>1214941.657978578</v>
      </c>
      <c r="G86" s="12">
        <f t="shared" si="5"/>
        <v>147876.27919868848</v>
      </c>
      <c r="H86" s="12">
        <f t="shared" si="6"/>
        <v>1067065.3787798896</v>
      </c>
      <c r="I86" s="12">
        <f t="shared" si="7"/>
        <v>43295818.380826652</v>
      </c>
    </row>
    <row r="87" spans="5:9" x14ac:dyDescent="0.25">
      <c r="E87" s="1">
        <v>83</v>
      </c>
      <c r="F87" s="12">
        <f t="shared" si="4"/>
        <v>1214941.657978578</v>
      </c>
      <c r="G87" s="12">
        <f t="shared" si="5"/>
        <v>144319.39460275552</v>
      </c>
      <c r="H87" s="12">
        <f t="shared" si="6"/>
        <v>1070622.2633758225</v>
      </c>
      <c r="I87" s="12">
        <f t="shared" si="7"/>
        <v>42225196.117450833</v>
      </c>
    </row>
    <row r="88" spans="5:9" x14ac:dyDescent="0.25">
      <c r="E88" s="1">
        <v>84</v>
      </c>
      <c r="F88" s="12">
        <f t="shared" si="4"/>
        <v>1214941.657978578</v>
      </c>
      <c r="G88" s="12">
        <f t="shared" si="5"/>
        <v>140750.65372483613</v>
      </c>
      <c r="H88" s="12">
        <f t="shared" si="6"/>
        <v>1074191.0042537418</v>
      </c>
      <c r="I88" s="12">
        <f t="shared" si="7"/>
        <v>41151005.113197088</v>
      </c>
    </row>
    <row r="89" spans="5:9" x14ac:dyDescent="0.25">
      <c r="E89" s="1">
        <v>85</v>
      </c>
      <c r="F89" s="12">
        <f t="shared" si="4"/>
        <v>1214941.657978578</v>
      </c>
      <c r="G89" s="12">
        <f t="shared" si="5"/>
        <v>137170.01704399032</v>
      </c>
      <c r="H89" s="12">
        <f t="shared" si="6"/>
        <v>1077771.6409345877</v>
      </c>
      <c r="I89" s="12">
        <f t="shared" si="7"/>
        <v>40073233.472262502</v>
      </c>
    </row>
    <row r="90" spans="5:9" x14ac:dyDescent="0.25">
      <c r="E90" s="1">
        <v>86</v>
      </c>
      <c r="F90" s="12">
        <f t="shared" si="4"/>
        <v>1214941.657978578</v>
      </c>
      <c r="G90" s="12">
        <f t="shared" si="5"/>
        <v>133577.44490754168</v>
      </c>
      <c r="H90" s="12">
        <f t="shared" si="6"/>
        <v>1081364.2130710364</v>
      </c>
      <c r="I90" s="12">
        <f t="shared" si="7"/>
        <v>38991869.259191468</v>
      </c>
    </row>
    <row r="91" spans="5:9" x14ac:dyDescent="0.25">
      <c r="E91" s="1">
        <v>87</v>
      </c>
      <c r="F91" s="12">
        <f t="shared" si="4"/>
        <v>1214941.657978578</v>
      </c>
      <c r="G91" s="12">
        <f t="shared" si="5"/>
        <v>129972.89753063823</v>
      </c>
      <c r="H91" s="12">
        <f t="shared" si="6"/>
        <v>1084968.7604479399</v>
      </c>
      <c r="I91" s="12">
        <f t="shared" si="7"/>
        <v>37906900.498743527</v>
      </c>
    </row>
    <row r="92" spans="5:9" x14ac:dyDescent="0.25">
      <c r="E92" s="1">
        <v>88</v>
      </c>
      <c r="F92" s="12">
        <f t="shared" si="4"/>
        <v>1214941.657978578</v>
      </c>
      <c r="G92" s="12">
        <f t="shared" si="5"/>
        <v>126356.33499581176</v>
      </c>
      <c r="H92" s="12">
        <f t="shared" si="6"/>
        <v>1088585.3229827662</v>
      </c>
      <c r="I92" s="12">
        <f t="shared" si="7"/>
        <v>36818315.175760761</v>
      </c>
    </row>
    <row r="93" spans="5:9" x14ac:dyDescent="0.25">
      <c r="E93" s="1">
        <v>89</v>
      </c>
      <c r="F93" s="12">
        <f t="shared" si="4"/>
        <v>1214941.657978578</v>
      </c>
      <c r="G93" s="12">
        <f t="shared" si="5"/>
        <v>122727.71725253588</v>
      </c>
      <c r="H93" s="12">
        <f t="shared" si="6"/>
        <v>1092213.940726042</v>
      </c>
      <c r="I93" s="12">
        <f t="shared" si="7"/>
        <v>35726101.235034719</v>
      </c>
    </row>
    <row r="94" spans="5:9" x14ac:dyDescent="0.25">
      <c r="E94" s="1">
        <v>90</v>
      </c>
      <c r="F94" s="12">
        <f t="shared" si="4"/>
        <v>1214941.657978578</v>
      </c>
      <c r="G94" s="12">
        <f t="shared" si="5"/>
        <v>119087.00411678241</v>
      </c>
      <c r="H94" s="12">
        <f t="shared" si="6"/>
        <v>1095854.6538617956</v>
      </c>
      <c r="I94" s="12">
        <f t="shared" si="7"/>
        <v>34630246.581172921</v>
      </c>
    </row>
    <row r="95" spans="5:9" x14ac:dyDescent="0.25">
      <c r="E95" s="1">
        <v>91</v>
      </c>
      <c r="F95" s="12">
        <f t="shared" si="4"/>
        <v>1214941.657978578</v>
      </c>
      <c r="G95" s="12">
        <f t="shared" si="5"/>
        <v>115434.1552705764</v>
      </c>
      <c r="H95" s="12">
        <f t="shared" si="6"/>
        <v>1099507.5027080015</v>
      </c>
      <c r="I95" s="12">
        <f t="shared" si="7"/>
        <v>33530739.078464918</v>
      </c>
    </row>
    <row r="96" spans="5:9" x14ac:dyDescent="0.25">
      <c r="E96" s="1">
        <v>92</v>
      </c>
      <c r="F96" s="12">
        <f t="shared" si="4"/>
        <v>1214941.657978578</v>
      </c>
      <c r="G96" s="12">
        <f t="shared" si="5"/>
        <v>111769.13026154973</v>
      </c>
      <c r="H96" s="12">
        <f t="shared" si="6"/>
        <v>1103172.5277170283</v>
      </c>
      <c r="I96" s="12">
        <f t="shared" si="7"/>
        <v>32427566.55074789</v>
      </c>
    </row>
    <row r="97" spans="5:9" x14ac:dyDescent="0.25">
      <c r="E97" s="1">
        <v>93</v>
      </c>
      <c r="F97" s="12">
        <f t="shared" si="4"/>
        <v>1214941.657978578</v>
      </c>
      <c r="G97" s="12">
        <f t="shared" si="5"/>
        <v>108091.88850249298</v>
      </c>
      <c r="H97" s="12">
        <f t="shared" si="6"/>
        <v>1106849.769476085</v>
      </c>
      <c r="I97" s="12">
        <f t="shared" si="7"/>
        <v>31320716.781271804</v>
      </c>
    </row>
    <row r="98" spans="5:9" x14ac:dyDescent="0.25">
      <c r="E98" s="1">
        <v>94</v>
      </c>
      <c r="F98" s="12">
        <f t="shared" si="4"/>
        <v>1214941.657978578</v>
      </c>
      <c r="G98" s="12">
        <f t="shared" si="5"/>
        <v>104402.38927090602</v>
      </c>
      <c r="H98" s="12">
        <f t="shared" si="6"/>
        <v>1110539.2687076719</v>
      </c>
      <c r="I98" s="12">
        <f t="shared" si="7"/>
        <v>30210177.512564134</v>
      </c>
    </row>
    <row r="99" spans="5:9" x14ac:dyDescent="0.25">
      <c r="E99" s="1">
        <v>95</v>
      </c>
      <c r="F99" s="12">
        <f t="shared" si="4"/>
        <v>1214941.657978578</v>
      </c>
      <c r="G99" s="12">
        <f t="shared" si="5"/>
        <v>100700.59170854712</v>
      </c>
      <c r="H99" s="12">
        <f t="shared" si="6"/>
        <v>1114241.0662700308</v>
      </c>
      <c r="I99" s="12">
        <f t="shared" si="7"/>
        <v>29095936.446294103</v>
      </c>
    </row>
    <row r="100" spans="5:9" x14ac:dyDescent="0.25">
      <c r="E100" s="1">
        <v>96</v>
      </c>
      <c r="F100" s="12">
        <f t="shared" si="4"/>
        <v>1214941.657978578</v>
      </c>
      <c r="G100" s="12">
        <f t="shared" si="5"/>
        <v>96986.454820980347</v>
      </c>
      <c r="H100" s="12">
        <f t="shared" si="6"/>
        <v>1117955.2031575977</v>
      </c>
      <c r="I100" s="12">
        <f t="shared" si="7"/>
        <v>27977981.243136507</v>
      </c>
    </row>
    <row r="101" spans="5:9" x14ac:dyDescent="0.25">
      <c r="E101" s="1">
        <v>97</v>
      </c>
      <c r="F101" s="12">
        <f t="shared" si="4"/>
        <v>1214941.657978578</v>
      </c>
      <c r="G101" s="12">
        <f t="shared" si="5"/>
        <v>93259.937477121697</v>
      </c>
      <c r="H101" s="12">
        <f t="shared" si="6"/>
        <v>1121681.7205014564</v>
      </c>
      <c r="I101" s="12">
        <f t="shared" si="7"/>
        <v>26856299.52263505</v>
      </c>
    </row>
    <row r="102" spans="5:9" x14ac:dyDescent="0.25">
      <c r="E102" s="1">
        <v>98</v>
      </c>
      <c r="F102" s="12">
        <f t="shared" si="4"/>
        <v>1214941.657978578</v>
      </c>
      <c r="G102" s="12">
        <f t="shared" si="5"/>
        <v>89520.998408783504</v>
      </c>
      <c r="H102" s="12">
        <f t="shared" si="6"/>
        <v>1125420.6595697945</v>
      </c>
      <c r="I102" s="12">
        <f t="shared" si="7"/>
        <v>25730878.863065254</v>
      </c>
    </row>
    <row r="103" spans="5:9" x14ac:dyDescent="0.25">
      <c r="E103" s="1">
        <v>99</v>
      </c>
      <c r="F103" s="12">
        <f t="shared" si="4"/>
        <v>1214941.657978578</v>
      </c>
      <c r="G103" s="12">
        <f t="shared" si="5"/>
        <v>85769.596210217525</v>
      </c>
      <c r="H103" s="12">
        <f t="shared" si="6"/>
        <v>1129172.0617683604</v>
      </c>
      <c r="I103" s="12">
        <f t="shared" si="7"/>
        <v>24601706.801296894</v>
      </c>
    </row>
    <row r="104" spans="5:9" x14ac:dyDescent="0.25">
      <c r="E104" s="1">
        <v>100</v>
      </c>
      <c r="F104" s="12">
        <f t="shared" si="4"/>
        <v>1214941.657978578</v>
      </c>
      <c r="G104" s="12">
        <f t="shared" si="5"/>
        <v>82005.689337656324</v>
      </c>
      <c r="H104" s="12">
        <f t="shared" si="6"/>
        <v>1132935.9686409216</v>
      </c>
      <c r="I104" s="12">
        <f t="shared" si="7"/>
        <v>23468770.832655974</v>
      </c>
    </row>
    <row r="105" spans="5:9" x14ac:dyDescent="0.25">
      <c r="E105" s="1">
        <v>101</v>
      </c>
      <c r="F105" s="12">
        <f t="shared" si="4"/>
        <v>1214941.657978578</v>
      </c>
      <c r="G105" s="12">
        <f t="shared" si="5"/>
        <v>78229.236108853249</v>
      </c>
      <c r="H105" s="12">
        <f t="shared" si="6"/>
        <v>1136712.4218697248</v>
      </c>
      <c r="I105" s="12">
        <f t="shared" si="7"/>
        <v>22332058.410786249</v>
      </c>
    </row>
    <row r="106" spans="5:9" x14ac:dyDescent="0.25">
      <c r="E106" s="1">
        <v>102</v>
      </c>
      <c r="F106" s="12">
        <f t="shared" si="4"/>
        <v>1214941.657978578</v>
      </c>
      <c r="G106" s="12">
        <f t="shared" si="5"/>
        <v>74440.194702620836</v>
      </c>
      <c r="H106" s="12">
        <f t="shared" si="6"/>
        <v>1140501.4632759572</v>
      </c>
      <c r="I106" s="12">
        <f t="shared" si="7"/>
        <v>21191556.947510291</v>
      </c>
    </row>
    <row r="107" spans="5:9" x14ac:dyDescent="0.25">
      <c r="E107" s="1">
        <v>103</v>
      </c>
      <c r="F107" s="12">
        <f t="shared" si="4"/>
        <v>1214941.657978578</v>
      </c>
      <c r="G107" s="12">
        <f t="shared" si="5"/>
        <v>70638.523158367636</v>
      </c>
      <c r="H107" s="12">
        <f t="shared" si="6"/>
        <v>1144303.1348202103</v>
      </c>
      <c r="I107" s="12">
        <f t="shared" si="7"/>
        <v>20047253.812690079</v>
      </c>
    </row>
    <row r="108" spans="5:9" x14ac:dyDescent="0.25">
      <c r="E108" s="1">
        <v>104</v>
      </c>
      <c r="F108" s="12">
        <f t="shared" si="4"/>
        <v>1214941.657978578</v>
      </c>
      <c r="G108" s="12">
        <f t="shared" si="5"/>
        <v>66824.179375633597</v>
      </c>
      <c r="H108" s="12">
        <f t="shared" si="6"/>
        <v>1148117.4786029444</v>
      </c>
      <c r="I108" s="12">
        <f t="shared" si="7"/>
        <v>18899136.334087133</v>
      </c>
    </row>
    <row r="109" spans="5:9" x14ac:dyDescent="0.25">
      <c r="E109" s="1">
        <v>105</v>
      </c>
      <c r="F109" s="12">
        <f t="shared" si="4"/>
        <v>1214941.657978578</v>
      </c>
      <c r="G109" s="12">
        <f t="shared" si="5"/>
        <v>62997.121113623783</v>
      </c>
      <c r="H109" s="12">
        <f t="shared" si="6"/>
        <v>1151944.5368649543</v>
      </c>
      <c r="I109" s="12">
        <f t="shared" si="7"/>
        <v>17747191.797222178</v>
      </c>
    </row>
    <row r="110" spans="5:9" x14ac:dyDescent="0.25">
      <c r="E110" s="1">
        <v>106</v>
      </c>
      <c r="F110" s="12">
        <f t="shared" si="4"/>
        <v>1214941.657978578</v>
      </c>
      <c r="G110" s="12">
        <f t="shared" si="5"/>
        <v>59157.305990740599</v>
      </c>
      <c r="H110" s="12">
        <f t="shared" si="6"/>
        <v>1155784.3519878373</v>
      </c>
      <c r="I110" s="12">
        <f t="shared" si="7"/>
        <v>16591407.445234342</v>
      </c>
    </row>
    <row r="111" spans="5:9" x14ac:dyDescent="0.25">
      <c r="E111" s="1">
        <v>107</v>
      </c>
      <c r="F111" s="12">
        <f t="shared" si="4"/>
        <v>1214941.657978578</v>
      </c>
      <c r="G111" s="12">
        <f t="shared" si="5"/>
        <v>55304.691484114475</v>
      </c>
      <c r="H111" s="12">
        <f t="shared" si="6"/>
        <v>1159636.9664944636</v>
      </c>
      <c r="I111" s="12">
        <f t="shared" si="7"/>
        <v>15431770.478739878</v>
      </c>
    </row>
    <row r="112" spans="5:9" x14ac:dyDescent="0.25">
      <c r="E112" s="1">
        <v>108</v>
      </c>
      <c r="F112" s="12">
        <f t="shared" si="4"/>
        <v>1214941.657978578</v>
      </c>
      <c r="G112" s="12">
        <f t="shared" si="5"/>
        <v>51439.23492913293</v>
      </c>
      <c r="H112" s="12">
        <f t="shared" si="6"/>
        <v>1163502.423049445</v>
      </c>
      <c r="I112" s="12">
        <f t="shared" si="7"/>
        <v>14268268.055690434</v>
      </c>
    </row>
    <row r="113" spans="5:9" x14ac:dyDescent="0.25">
      <c r="E113" s="1">
        <v>109</v>
      </c>
      <c r="F113" s="12">
        <f t="shared" si="4"/>
        <v>1214941.657978578</v>
      </c>
      <c r="G113" s="12">
        <f t="shared" si="5"/>
        <v>47560.893518968114</v>
      </c>
      <c r="H113" s="12">
        <f t="shared" si="6"/>
        <v>1167380.76445961</v>
      </c>
      <c r="I113" s="12">
        <f t="shared" si="7"/>
        <v>13100887.291230824</v>
      </c>
    </row>
    <row r="114" spans="5:9" x14ac:dyDescent="0.25">
      <c r="E114" s="1">
        <v>110</v>
      </c>
      <c r="F114" s="12">
        <f t="shared" si="4"/>
        <v>1214941.657978578</v>
      </c>
      <c r="G114" s="12">
        <f t="shared" si="5"/>
        <v>43669.624304102748</v>
      </c>
      <c r="H114" s="12">
        <f t="shared" si="6"/>
        <v>1171272.0336744753</v>
      </c>
      <c r="I114" s="12">
        <f t="shared" si="7"/>
        <v>11929615.257556349</v>
      </c>
    </row>
    <row r="115" spans="5:9" x14ac:dyDescent="0.25">
      <c r="E115" s="1">
        <v>111</v>
      </c>
      <c r="F115" s="12">
        <f t="shared" si="4"/>
        <v>1214941.657978578</v>
      </c>
      <c r="G115" s="12">
        <f t="shared" si="5"/>
        <v>39765.3841918545</v>
      </c>
      <c r="H115" s="12">
        <f t="shared" si="6"/>
        <v>1175176.2737867236</v>
      </c>
      <c r="I115" s="12">
        <f t="shared" si="7"/>
        <v>10754438.983769625</v>
      </c>
    </row>
    <row r="116" spans="5:9" x14ac:dyDescent="0.25">
      <c r="E116" s="1">
        <v>112</v>
      </c>
      <c r="F116" s="12">
        <f t="shared" si="4"/>
        <v>1214941.657978578</v>
      </c>
      <c r="G116" s="12">
        <f t="shared" si="5"/>
        <v>35848.129945898756</v>
      </c>
      <c r="H116" s="12">
        <f t="shared" si="6"/>
        <v>1179093.5280326793</v>
      </c>
      <c r="I116" s="12">
        <f t="shared" si="7"/>
        <v>9575345.4557369463</v>
      </c>
    </row>
    <row r="117" spans="5:9" x14ac:dyDescent="0.25">
      <c r="E117" s="1">
        <v>113</v>
      </c>
      <c r="F117" s="12">
        <f t="shared" si="4"/>
        <v>1214941.657978578</v>
      </c>
      <c r="G117" s="12">
        <f t="shared" si="5"/>
        <v>31917.818185789823</v>
      </c>
      <c r="H117" s="12">
        <f t="shared" si="6"/>
        <v>1183023.8397927883</v>
      </c>
      <c r="I117" s="12">
        <f t="shared" si="7"/>
        <v>8392321.6159441583</v>
      </c>
    </row>
    <row r="118" spans="5:9" x14ac:dyDescent="0.25">
      <c r="E118" s="1">
        <v>114</v>
      </c>
      <c r="F118" s="12">
        <f t="shared" si="4"/>
        <v>1214941.657978578</v>
      </c>
      <c r="G118" s="12">
        <f t="shared" si="5"/>
        <v>27974.405386480528</v>
      </c>
      <c r="H118" s="12">
        <f t="shared" si="6"/>
        <v>1186967.2525920975</v>
      </c>
      <c r="I118" s="12">
        <f t="shared" si="7"/>
        <v>7205354.3633520603</v>
      </c>
    </row>
    <row r="119" spans="5:9" x14ac:dyDescent="0.25">
      <c r="E119" s="1">
        <v>115</v>
      </c>
      <c r="F119" s="12">
        <f t="shared" si="4"/>
        <v>1214941.657978578</v>
      </c>
      <c r="G119" s="12">
        <f t="shared" si="5"/>
        <v>24017.847877840202</v>
      </c>
      <c r="H119" s="12">
        <f t="shared" si="6"/>
        <v>1190923.8101007377</v>
      </c>
      <c r="I119" s="12">
        <f t="shared" si="7"/>
        <v>6014430.5532513224</v>
      </c>
    </row>
    <row r="120" spans="5:9" x14ac:dyDescent="0.25">
      <c r="E120" s="1">
        <v>116</v>
      </c>
      <c r="F120" s="12">
        <f t="shared" si="4"/>
        <v>1214941.657978578</v>
      </c>
      <c r="G120" s="12">
        <f t="shared" si="5"/>
        <v>20048.101844171077</v>
      </c>
      <c r="H120" s="12">
        <f t="shared" si="6"/>
        <v>1194893.5561344069</v>
      </c>
      <c r="I120" s="12">
        <f t="shared" si="7"/>
        <v>4819536.9971169159</v>
      </c>
    </row>
    <row r="121" spans="5:9" x14ac:dyDescent="0.25">
      <c r="E121" s="1">
        <v>117</v>
      </c>
      <c r="F121" s="12">
        <f t="shared" si="4"/>
        <v>1214941.657978578</v>
      </c>
      <c r="G121" s="12">
        <f t="shared" si="5"/>
        <v>16065.123323723054</v>
      </c>
      <c r="H121" s="12">
        <f t="shared" si="6"/>
        <v>1198876.534654855</v>
      </c>
      <c r="I121" s="12">
        <f t="shared" si="7"/>
        <v>3620660.4624620611</v>
      </c>
    </row>
    <row r="122" spans="5:9" x14ac:dyDescent="0.25">
      <c r="E122" s="1">
        <v>118</v>
      </c>
      <c r="F122" s="12">
        <f t="shared" si="4"/>
        <v>1214941.657978578</v>
      </c>
      <c r="G122" s="12">
        <f t="shared" si="5"/>
        <v>12068.868208206872</v>
      </c>
      <c r="H122" s="12">
        <f t="shared" si="6"/>
        <v>1202872.789770371</v>
      </c>
      <c r="I122" s="12">
        <f t="shared" si="7"/>
        <v>2417787.6726916898</v>
      </c>
    </row>
    <row r="123" spans="5:9" x14ac:dyDescent="0.25">
      <c r="E123" s="1">
        <v>119</v>
      </c>
      <c r="F123" s="12">
        <f t="shared" si="4"/>
        <v>1214941.657978578</v>
      </c>
      <c r="G123" s="12">
        <f t="shared" si="5"/>
        <v>8059.2922423056334</v>
      </c>
      <c r="H123" s="12">
        <f t="shared" si="6"/>
        <v>1206882.3657362724</v>
      </c>
      <c r="I123" s="12">
        <f t="shared" si="7"/>
        <v>1210905.3069554174</v>
      </c>
    </row>
    <row r="124" spans="5:9" x14ac:dyDescent="0.25">
      <c r="E124" s="1">
        <v>120</v>
      </c>
      <c r="F124" s="12">
        <f t="shared" si="4"/>
        <v>1214941.657978578</v>
      </c>
      <c r="G124" s="12">
        <f t="shared" si="5"/>
        <v>4036.3510231847249</v>
      </c>
      <c r="H124" s="12">
        <f t="shared" si="6"/>
        <v>1210905.3069553932</v>
      </c>
      <c r="I124" s="12">
        <f t="shared" si="7"/>
        <v>2.4214386940002441E-8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4"/>
  <sheetViews>
    <sheetView tabSelected="1" workbookViewId="0">
      <selection activeCell="B6" sqref="B6"/>
    </sheetView>
  </sheetViews>
  <sheetFormatPr defaultColWidth="9.1796875" defaultRowHeight="11.5" x14ac:dyDescent="0.25"/>
  <cols>
    <col min="1" max="1" width="1" style="1" customWidth="1"/>
    <col min="2" max="2" width="20.54296875" style="1" bestFit="1" customWidth="1"/>
    <col min="3" max="3" width="11.26953125" style="1" bestFit="1" customWidth="1"/>
    <col min="4" max="7" width="10.36328125" style="1" bestFit="1" customWidth="1"/>
    <col min="8" max="8" width="6.7265625" style="1" customWidth="1"/>
    <col min="9" max="9" width="21.08984375" style="1" bestFit="1" customWidth="1"/>
    <col min="10" max="10" width="11.26953125" style="1" bestFit="1" customWidth="1"/>
    <col min="11" max="14" width="10.36328125" style="1" bestFit="1" customWidth="1"/>
    <col min="15" max="16384" width="9.1796875" style="1"/>
  </cols>
  <sheetData>
    <row r="1" spans="2:14" ht="15.5" x14ac:dyDescent="0.35">
      <c r="B1" s="2" t="s">
        <v>17</v>
      </c>
    </row>
    <row r="3" spans="2:14" x14ac:dyDescent="0.25">
      <c r="B3" s="13" t="s">
        <v>20</v>
      </c>
      <c r="C3" s="14">
        <v>0.09</v>
      </c>
      <c r="D3" s="15"/>
      <c r="E3" s="15"/>
      <c r="F3" s="15"/>
      <c r="G3" s="15"/>
      <c r="H3" s="15"/>
      <c r="I3" s="15"/>
      <c r="J3" s="15"/>
      <c r="K3" s="15"/>
      <c r="L3" s="15"/>
    </row>
    <row r="4" spans="2:14" x14ac:dyDescent="0.2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2:14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2:14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2:14" x14ac:dyDescent="0.25">
      <c r="B7" s="15"/>
      <c r="C7" s="15"/>
      <c r="D7" s="15"/>
      <c r="E7" s="15"/>
      <c r="F7" s="15"/>
      <c r="G7" s="15"/>
      <c r="H7" s="15"/>
      <c r="I7" s="16"/>
      <c r="J7" s="15"/>
      <c r="K7" s="15"/>
      <c r="L7" s="15"/>
    </row>
    <row r="8" spans="2:14" ht="12" thickBot="1" x14ac:dyDescent="0.3">
      <c r="B8" s="17" t="s">
        <v>21</v>
      </c>
      <c r="C8" s="18" t="s">
        <v>22</v>
      </c>
      <c r="D8" s="18" t="s">
        <v>23</v>
      </c>
      <c r="E8" s="18" t="s">
        <v>24</v>
      </c>
      <c r="F8" s="18" t="s">
        <v>30</v>
      </c>
      <c r="G8" s="18" t="s">
        <v>31</v>
      </c>
      <c r="H8" s="15"/>
      <c r="I8" s="17" t="s">
        <v>25</v>
      </c>
      <c r="J8" s="18" t="s">
        <v>22</v>
      </c>
      <c r="K8" s="18" t="s">
        <v>23</v>
      </c>
      <c r="L8" s="18" t="s">
        <v>24</v>
      </c>
      <c r="M8" s="18" t="s">
        <v>30</v>
      </c>
      <c r="N8" s="18" t="s">
        <v>31</v>
      </c>
    </row>
    <row r="9" spans="2:14" x14ac:dyDescent="0.25">
      <c r="B9" s="19" t="s">
        <v>26</v>
      </c>
      <c r="C9" s="25">
        <v>32500500</v>
      </c>
      <c r="D9" s="25">
        <v>36900450</v>
      </c>
      <c r="E9" s="25">
        <v>41580000</v>
      </c>
      <c r="F9" s="25">
        <v>44550000</v>
      </c>
      <c r="G9" s="25">
        <v>48250000</v>
      </c>
      <c r="H9" s="15"/>
      <c r="I9" s="19" t="s">
        <v>26</v>
      </c>
      <c r="J9" s="25">
        <v>43500500</v>
      </c>
      <c r="K9" s="25">
        <v>38900450</v>
      </c>
      <c r="L9" s="25">
        <v>32580000</v>
      </c>
      <c r="M9" s="12">
        <v>29550000</v>
      </c>
      <c r="N9" s="12">
        <v>19250000</v>
      </c>
    </row>
    <row r="10" spans="2:14" x14ac:dyDescent="0.25">
      <c r="B10" s="19" t="s">
        <v>27</v>
      </c>
      <c r="C10" s="26">
        <f>C9/(1+$C$3)</f>
        <v>29816972.477064218</v>
      </c>
      <c r="D10" s="26">
        <f>D9/(1+$C$3)^2</f>
        <v>31058370.507533032</v>
      </c>
      <c r="E10" s="26">
        <f>E9/(1+$C$3)^3</f>
        <v>32107389.100939047</v>
      </c>
      <c r="F10" s="26">
        <f>F9/(1+$C$3)^4</f>
        <v>31560343.1529545</v>
      </c>
      <c r="G10" s="26">
        <f>G9/(1+$C$3)^5</f>
        <v>31359189.388895161</v>
      </c>
      <c r="H10" s="15"/>
      <c r="I10" s="19" t="s">
        <v>27</v>
      </c>
      <c r="J10" s="26">
        <f>J9/(1+$C$3)</f>
        <v>39908715.59633027</v>
      </c>
      <c r="K10" s="26">
        <f>K9/(1+$C$3)^2</f>
        <v>32741730.494066153</v>
      </c>
      <c r="L10" s="26">
        <f>L9/(1+$C$3)^3</f>
        <v>25157737.780389469</v>
      </c>
      <c r="M10" s="26">
        <f>M9/(1+$C$3)^4</f>
        <v>20933964.986976556</v>
      </c>
      <c r="N10" s="26">
        <f>N9/(1+$C$3)^5</f>
        <v>12511179.186243147</v>
      </c>
    </row>
    <row r="11" spans="2:14" x14ac:dyDescent="0.25">
      <c r="B11" s="15"/>
      <c r="C11" s="15"/>
      <c r="D11" s="22"/>
      <c r="E11" s="22"/>
      <c r="F11" s="22"/>
      <c r="G11" s="22"/>
      <c r="H11" s="15"/>
      <c r="I11" s="15"/>
      <c r="J11" s="15"/>
      <c r="K11" s="15"/>
      <c r="L11" s="15"/>
    </row>
    <row r="12" spans="2:14" x14ac:dyDescent="0.25"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2:14" x14ac:dyDescent="0.25">
      <c r="B13" s="23" t="s">
        <v>28</v>
      </c>
      <c r="C13" s="27">
        <f>SUM(C10:G10)</f>
        <v>155902264.62738597</v>
      </c>
      <c r="D13" s="15"/>
      <c r="E13" s="24"/>
      <c r="F13" s="24"/>
      <c r="G13" s="24"/>
      <c r="H13" s="15"/>
      <c r="I13" s="23" t="s">
        <v>29</v>
      </c>
      <c r="J13" s="27">
        <f>SUM(J10:N10)</f>
        <v>131253328.0440056</v>
      </c>
      <c r="K13" s="21"/>
      <c r="L13" s="15"/>
    </row>
    <row r="14" spans="2:14" x14ac:dyDescent="0.25">
      <c r="B14" s="20"/>
      <c r="C14" s="20"/>
      <c r="D14" s="20"/>
      <c r="E14" s="20"/>
      <c r="F14" s="20"/>
      <c r="G14" s="20"/>
      <c r="H14" s="15"/>
      <c r="I14" s="15"/>
      <c r="J14" s="15"/>
      <c r="K14" s="15"/>
      <c r="L14" s="15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 Study --&gt;</vt:lpstr>
      <vt:lpstr>Task 1</vt:lpstr>
      <vt:lpstr>Task 2</vt:lpstr>
      <vt:lpstr>Solutions --&gt;</vt:lpstr>
      <vt:lpstr>Task 1 - Solution</vt:lpstr>
      <vt:lpstr>Task 2 -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2015-12-26T17:11:50Z</dcterms:created>
  <dcterms:modified xsi:type="dcterms:W3CDTF">2026-02-27T07:18:53Z</dcterms:modified>
</cp:coreProperties>
</file>