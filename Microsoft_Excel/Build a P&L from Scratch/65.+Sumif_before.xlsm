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22E68647-3C60-695B-3CA0-4895CD717B8A}"/>
  <workbookPr filterPrivacy="1" codeName="ThisWorkbook" defaultThemeVersion="124226"/>
  <xr:revisionPtr revIDLastSave="0" documentId="13_ncr:1_{632B0FBC-0DD6-4C17-B100-275DBC724500}" xr6:coauthVersionLast="47" xr6:coauthVersionMax="47" xr10:uidLastSave="{00000000-0000-0000-0000-000000000000}"/>
  <bookViews>
    <workbookView xWindow="-110" yWindow="-110" windowWidth="19420" windowHeight="11020" firstSheet="3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4" i="10" l="1"/>
  <c r="F94" i="10"/>
  <c r="H60" i="10"/>
  <c r="G60" i="10"/>
  <c r="G94" i="10"/>
  <c r="F60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4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<sst xmlns="http://schemas.openxmlformats.org/spreadsheetml/2006/main" count="829" uniqueCount="225">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</sst>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5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08984375" defaultRowHeight="14.5" x14ac:dyDescent="0.35"/>
  <cols>
    <col min="1" max="1" width="2" style="1" customWidth="1"/>
    <col min="2" max="16384" width="9.08984375" style="1"/>
  </cols>
  <sheetData>
    <row r="12" spans="2:2" ht="40" x14ac:dyDescent="0.8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089843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08984375" style="2"/>
  </cols>
  <sheetData>
    <row r="1" spans="2:4" ht="15.5" x14ac:dyDescent="0.35">
      <c r="B1" s="3" t="s">
        <v>108</v>
      </c>
    </row>
    <row r="2" spans="2:4" x14ac:dyDescent="0.25">
      <c r="B2" s="6" t="s">
        <v>57</v>
      </c>
    </row>
    <row r="4" spans="2:4" ht="12" thickBot="1" x14ac:dyDescent="0.3">
      <c r="B4" s="12" t="s">
        <v>58</v>
      </c>
      <c r="C4" s="12" t="s">
        <v>59</v>
      </c>
      <c r="D4" s="12" t="s">
        <v>60</v>
      </c>
    </row>
    <row r="5" spans="2:4" x14ac:dyDescent="0.25">
      <c r="B5" s="7">
        <v>1</v>
      </c>
      <c r="C5" s="14" t="s">
        <v>61</v>
      </c>
    </row>
    <row r="6" spans="2:4" x14ac:dyDescent="0.25">
      <c r="B6" s="10">
        <v>2</v>
      </c>
      <c r="C6" s="11" t="s">
        <v>62</v>
      </c>
      <c r="D6" s="11"/>
    </row>
    <row r="7" spans="2:4" x14ac:dyDescent="0.25">
      <c r="B7" s="7">
        <v>3</v>
      </c>
      <c r="C7" s="20" t="s">
        <v>109</v>
      </c>
    </row>
    <row r="8" spans="2:4" x14ac:dyDescent="0.25">
      <c r="B8" s="7">
        <v>4</v>
      </c>
      <c r="C8" s="20" t="s">
        <v>110</v>
      </c>
    </row>
    <row r="9" spans="2:4" x14ac:dyDescent="0.25">
      <c r="B9" s="7">
        <v>5</v>
      </c>
      <c r="C9" s="20" t="s">
        <v>111</v>
      </c>
    </row>
    <row r="10" spans="2:4" x14ac:dyDescent="0.25">
      <c r="B10" s="10">
        <v>6</v>
      </c>
      <c r="C10" s="11" t="s">
        <v>63</v>
      </c>
      <c r="D10" s="11"/>
    </row>
    <row r="11" spans="2:4" x14ac:dyDescent="0.25">
      <c r="B11" s="7">
        <v>7</v>
      </c>
      <c r="C11" s="14" t="s">
        <v>92</v>
      </c>
    </row>
    <row r="12" spans="2:4" x14ac:dyDescent="0.25">
      <c r="B12" s="7">
        <v>8</v>
      </c>
      <c r="C12" s="14" t="s">
        <v>93</v>
      </c>
    </row>
    <row r="13" spans="2:4" x14ac:dyDescent="0.25">
      <c r="B13" s="8">
        <v>19</v>
      </c>
      <c r="C13" s="11" t="s">
        <v>94</v>
      </c>
      <c r="D13" s="9"/>
    </row>
    <row r="14" spans="2:4" x14ac:dyDescent="0.25">
      <c r="B14" s="7">
        <v>20</v>
      </c>
      <c r="C14" s="14" t="s">
        <v>95</v>
      </c>
    </row>
    <row r="15" spans="2:4" x14ac:dyDescent="0.25">
      <c r="B15" s="7">
        <v>21</v>
      </c>
      <c r="C15" s="14" t="s">
        <v>96</v>
      </c>
    </row>
    <row r="16" spans="2:4" x14ac:dyDescent="0.25">
      <c r="B16" s="7">
        <v>22</v>
      </c>
      <c r="C16" s="14" t="s">
        <v>97</v>
      </c>
    </row>
    <row r="17" spans="2:3" x14ac:dyDescent="0.25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39.5" x14ac:dyDescent="0.7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topLeftCell="A5" workbookViewId="0">
      <selection activeCell="B5" sqref="B5:B61"/>
    </sheetView>
  </sheetViews>
  <sheetFormatPr defaultColWidth="9.08984375" defaultRowHeight="14.5" x14ac:dyDescent="0.35"/>
  <cols>
    <col min="1" max="1" width="2" style="2" customWidth="1"/>
    <col min="2" max="2" width="11" style="2" bestFit="1" customWidth="1"/>
    <col min="3" max="3" width="30" style="2" customWidth="1"/>
    <col min="4" max="4" width="23.90625" style="2" bestFit="1" customWidth="1"/>
    <col min="5" max="5" width="36.54296875" style="2" bestFit="1" customWidth="1"/>
    <col min="6" max="6" width="11.6328125" style="2" bestFit="1" customWidth="1"/>
    <col min="7" max="7" width="11" style="2" bestFit="1" customWidth="1"/>
    <col min="9" max="16384" width="9.08984375" style="2"/>
  </cols>
  <sheetData>
    <row r="1" spans="2:7" ht="15.5" x14ac:dyDescent="0.35">
      <c r="C1" s="3" t="s">
        <v>112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5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5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5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5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5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5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5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5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5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5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5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5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5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5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5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5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5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5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5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5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5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5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5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5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5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5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5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5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5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5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5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5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5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5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5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5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5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5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5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5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5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5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5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5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5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5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5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5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5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5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5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5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5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5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5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5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5">
      <c r="D62" s="5"/>
    </row>
    <row r="63" spans="2:7" x14ac:dyDescent="0.35">
      <c r="D63" s="5"/>
    </row>
    <row r="64" spans="2:7" x14ac:dyDescent="0.35">
      <c r="D64" s="5"/>
    </row>
    <row r="65" spans="4:4" x14ac:dyDescent="0.35">
      <c r="D65" s="5"/>
    </row>
    <row r="66" spans="4:4" x14ac:dyDescent="0.35">
      <c r="D66" s="5"/>
    </row>
    <row r="67" spans="4:4" x14ac:dyDescent="0.35">
      <c r="D67" s="5"/>
    </row>
    <row r="68" spans="4:4" x14ac:dyDescent="0.35">
      <c r="D68" s="5"/>
    </row>
    <row r="69" spans="4:4" x14ac:dyDescent="0.35">
      <c r="D69" s="5"/>
    </row>
    <row r="70" spans="4:4" x14ac:dyDescent="0.35">
      <c r="D70" s="5"/>
    </row>
    <row r="71" spans="4:4" x14ac:dyDescent="0.35">
      <c r="D71" s="5"/>
    </row>
    <row r="72" spans="4:4" x14ac:dyDescent="0.35">
      <c r="D72" s="5"/>
    </row>
    <row r="73" spans="4:4" x14ac:dyDescent="0.35">
      <c r="D73" s="5"/>
    </row>
    <row r="74" spans="4:4" x14ac:dyDescent="0.35">
      <c r="D74" s="5"/>
    </row>
    <row r="75" spans="4:4" x14ac:dyDescent="0.35">
      <c r="D75" s="5"/>
    </row>
    <row r="76" spans="4:4" x14ac:dyDescent="0.35">
      <c r="D76" s="5"/>
    </row>
    <row r="77" spans="4:4" x14ac:dyDescent="0.35">
      <c r="D77" s="5"/>
    </row>
    <row r="78" spans="4:4" x14ac:dyDescent="0.35">
      <c r="D78" s="5"/>
    </row>
    <row r="79" spans="4:4" x14ac:dyDescent="0.35">
      <c r="D79" s="5"/>
    </row>
    <row r="80" spans="4:4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A65" workbookViewId="0">
      <selection activeCell="B4" sqref="B4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34.90625" style="2" bestFit="1" customWidth="1"/>
    <col min="4" max="4" width="21.08984375" style="2" bestFit="1" customWidth="1"/>
    <col min="5" max="5" width="37.54296875" style="2" bestFit="1" customWidth="1"/>
    <col min="6" max="6" width="11.54296875" style="2" bestFit="1" customWidth="1"/>
    <col min="7" max="7" width="11" style="2" bestFit="1" customWidth="1"/>
    <col min="9" max="16384" width="9.08984375" style="2"/>
  </cols>
  <sheetData>
    <row r="1" spans="2:7" ht="15.5" x14ac:dyDescent="0.35">
      <c r="B1" s="3" t="s">
        <v>113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5">
      <c r="D87" s="5"/>
    </row>
    <row r="88" spans="2:7" x14ac:dyDescent="0.35">
      <c r="D88" s="5"/>
    </row>
    <row r="89" spans="2:7" x14ac:dyDescent="0.35">
      <c r="D89" s="5"/>
    </row>
    <row r="90" spans="2:7" x14ac:dyDescent="0.35">
      <c r="D90" s="5"/>
    </row>
    <row r="91" spans="2:7" x14ac:dyDescent="0.35">
      <c r="D91" s="5"/>
    </row>
    <row r="92" spans="2:7" x14ac:dyDescent="0.35">
      <c r="D92" s="5"/>
    </row>
    <row r="93" spans="2:7" x14ac:dyDescent="0.35">
      <c r="D93" s="5"/>
    </row>
    <row r="94" spans="2:7" x14ac:dyDescent="0.35">
      <c r="D94" s="5"/>
    </row>
    <row r="95" spans="2:7" x14ac:dyDescent="0.35">
      <c r="D95" s="5"/>
    </row>
    <row r="96" spans="2:7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  <row r="116" spans="4:4" x14ac:dyDescent="0.35">
      <c r="D116" s="5"/>
    </row>
    <row r="117" spans="4:4" x14ac:dyDescent="0.35">
      <c r="D117" s="5"/>
    </row>
    <row r="118" spans="4:4" x14ac:dyDescent="0.35">
      <c r="D118" s="5"/>
    </row>
    <row r="119" spans="4:4" x14ac:dyDescent="0.35">
      <c r="D119" s="5"/>
    </row>
    <row r="120" spans="4:4" x14ac:dyDescent="0.35">
      <c r="D120" s="5"/>
    </row>
    <row r="121" spans="4:4" x14ac:dyDescent="0.35">
      <c r="D121" s="5"/>
    </row>
    <row r="122" spans="4:4" x14ac:dyDescent="0.35">
      <c r="D122" s="5"/>
    </row>
    <row r="123" spans="4:4" x14ac:dyDescent="0.35">
      <c r="D123" s="5"/>
    </row>
    <row r="124" spans="4:4" x14ac:dyDescent="0.35">
      <c r="D124" s="5"/>
    </row>
    <row r="125" spans="4:4" x14ac:dyDescent="0.35">
      <c r="D125" s="5"/>
    </row>
    <row r="126" spans="4:4" x14ac:dyDescent="0.35">
      <c r="D126" s="5"/>
    </row>
    <row r="127" spans="4:4" x14ac:dyDescent="0.3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57" workbookViewId="0">
      <selection activeCell="C4" sqref="C4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29.54296875" style="2" customWidth="1"/>
    <col min="4" max="4" width="22.08984375" style="2" customWidth="1"/>
    <col min="5" max="5" width="30.90625" style="2" bestFit="1" customWidth="1"/>
    <col min="6" max="6" width="11.54296875" style="2" bestFit="1" customWidth="1"/>
    <col min="7" max="7" width="12" style="2" bestFit="1" customWidth="1"/>
    <col min="9" max="16384" width="9.08984375" style="2"/>
  </cols>
  <sheetData>
    <row r="1" spans="2:7" ht="15.5" x14ac:dyDescent="0.35">
      <c r="B1" s="3" t="s">
        <v>114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5">
      <c r="D79" s="5"/>
    </row>
    <row r="80" spans="2:7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workbookViewId="0">
      <selection activeCell="H4" sqref="H4"/>
    </sheetView>
  </sheetViews>
  <sheetFormatPr defaultColWidth="9.08984375" defaultRowHeight="11.5" x14ac:dyDescent="0.25"/>
  <cols>
    <col min="1" max="1" width="2" style="2" customWidth="1"/>
    <col min="2" max="2" width="16.36328125" style="2" customWidth="1"/>
    <col min="3" max="3" width="10.81640625" style="2" bestFit="1" customWidth="1"/>
    <col min="4" max="4" width="14.08984375" style="2" bestFit="1" customWidth="1"/>
    <col min="5" max="5" width="21.08984375" style="2" bestFit="1" customWidth="1"/>
    <col min="6" max="16384" width="9.08984375" style="2"/>
  </cols>
  <sheetData>
    <row r="1" spans="2:8" ht="15.5" x14ac:dyDescent="0.35">
      <c r="B1" s="3" t="s">
        <v>56</v>
      </c>
    </row>
    <row r="3" spans="2:8" ht="12" thickBot="1" x14ac:dyDescent="0.3">
      <c r="B3" s="26" t="s">
        <v>115</v>
      </c>
      <c r="C3" s="26" t="s">
        <v>99</v>
      </c>
      <c r="D3" s="26" t="s">
        <v>31</v>
      </c>
      <c r="E3" s="26" t="s">
        <v>100</v>
      </c>
      <c r="F3" s="27" t="s">
        <v>221</v>
      </c>
      <c r="G3" s="27" t="s">
        <v>222</v>
      </c>
      <c r="H3" s="27" t="s">
        <v>223</v>
      </c>
    </row>
    <row r="4" spans="2:8" x14ac:dyDescent="0.25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25">
        <f>-SUMIF('1.1 FY2016'!$B$5:$B$61,'2.1 Database'!$B4,'1.1 FY2016'!$F$5:$F$61)</f>
        <v>14500341</v>
      </c>
      <c r="G4" s="25">
        <f>-SUMIF('1.2 FY2017'!$B$5:$B$86,'2.1 Database'!B4,'1.2 FY2017'!$F$5:$F$86)</f>
        <v>15792898.75</v>
      </c>
      <c r="H4" s="25">
        <f>-SUMIF('1.3 FY2018'!$B$5:$B$78,'2.1 Database'!$B4,'1.3 FY2018'!$F$5:$F$78)</f>
        <v>14431341</v>
      </c>
    </row>
    <row r="5" spans="2:8" x14ac:dyDescent="0.25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25">
        <f>-SUMIF('1.1 FY2016'!$B$5:$B$61,'2.1 Database'!$B5,'1.1 FY2016'!$F$5:$F$61)</f>
        <v>4794856.1919999998</v>
      </c>
      <c r="G5" s="25">
        <f>-SUMIF('1.2 FY2017'!$B$5:$B$86,'2.1 Database'!B5,'1.2 FY2017'!$F$5:$F$86)</f>
        <v>6960217.6449999996</v>
      </c>
      <c r="H5" s="25">
        <f>-SUMIF('1.3 FY2018'!$B$5:$B$78,'2.1 Database'!$B5,'1.3 FY2018'!$F$5:$F$78)</f>
        <v>6373617.5140000004</v>
      </c>
    </row>
    <row r="6" spans="2:8" x14ac:dyDescent="0.25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25">
        <f>-SUMIF('1.1 FY2016'!$B$5:$B$61,'2.1 Database'!$B6,'1.1 FY2016'!$F$5:$F$61)</f>
        <v>154890.4</v>
      </c>
      <c r="G6" s="25">
        <f>-SUMIF('1.2 FY2017'!$B$5:$B$86,'2.1 Database'!B6,'1.2 FY2017'!$F$5:$F$86)</f>
        <v>0</v>
      </c>
      <c r="H6" s="25">
        <f>-SUMIF('1.3 FY2018'!$B$5:$B$78,'2.1 Database'!$B6,'1.3 FY2018'!$F$5:$F$78)</f>
        <v>0</v>
      </c>
    </row>
    <row r="7" spans="2:8" x14ac:dyDescent="0.25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25">
        <f>-SUMIF('1.1 FY2016'!$B$5:$B$61,'2.1 Database'!$B7,'1.1 FY2016'!$F$5:$F$61)</f>
        <v>1180894.0520000001</v>
      </c>
      <c r="G7" s="25">
        <f>-SUMIF('1.2 FY2017'!$B$5:$B$86,'2.1 Database'!B7,'1.2 FY2017'!$F$5:$F$86)</f>
        <v>89234.880000000005</v>
      </c>
      <c r="H7" s="25">
        <f>-SUMIF('1.3 FY2018'!$B$5:$B$78,'2.1 Database'!$B7,'1.3 FY2018'!$F$5:$F$78)</f>
        <v>0</v>
      </c>
    </row>
    <row r="8" spans="2:8" x14ac:dyDescent="0.25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25">
        <f>-SUMIF('1.1 FY2016'!$B$5:$B$61,'2.1 Database'!$B8,'1.1 FY2016'!$F$5:$F$61)</f>
        <v>793079.51199999999</v>
      </c>
      <c r="G8" s="25">
        <f>-SUMIF('1.2 FY2017'!$B$5:$B$86,'2.1 Database'!B8,'1.2 FY2017'!$F$5:$F$86)</f>
        <v>26173</v>
      </c>
      <c r="H8" s="25">
        <f>-SUMIF('1.3 FY2018'!$B$5:$B$78,'2.1 Database'!$B8,'1.3 FY2018'!$F$5:$F$78)</f>
        <v>0</v>
      </c>
    </row>
    <row r="9" spans="2:8" x14ac:dyDescent="0.25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25">
        <f>-SUMIF('1.1 FY2016'!$B$5:$B$61,'2.1 Database'!$B9,'1.1 FY2016'!$F$5:$F$61)</f>
        <v>2277197.6</v>
      </c>
      <c r="G9" s="25">
        <f>-SUMIF('1.2 FY2017'!$B$5:$B$86,'2.1 Database'!B9,'1.2 FY2017'!$F$5:$F$86)</f>
        <v>209401.92</v>
      </c>
      <c r="H9" s="25">
        <f>-SUMIF('1.3 FY2018'!$B$5:$B$78,'2.1 Database'!$B9,'1.3 FY2018'!$F$5:$F$78)</f>
        <v>0</v>
      </c>
    </row>
    <row r="10" spans="2:8" x14ac:dyDescent="0.25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25">
        <f>-SUMIF('1.1 FY2016'!$B$5:$B$61,'2.1 Database'!$B10,'1.1 FY2016'!$F$5:$F$61)</f>
        <v>-4428911.7640000004</v>
      </c>
      <c r="G10" s="25">
        <f>-SUMIF('1.2 FY2017'!$B$5:$B$86,'2.1 Database'!B10,'1.2 FY2017'!$F$5:$F$86)</f>
        <v>-5463188.8250000002</v>
      </c>
      <c r="H10" s="25">
        <f>-SUMIF('1.3 FY2018'!$B$5:$B$78,'2.1 Database'!$B10,'1.3 FY2018'!$F$5:$F$78)</f>
        <v>-5674152.0669999998</v>
      </c>
    </row>
    <row r="11" spans="2:8" x14ac:dyDescent="0.25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25">
        <f>-SUMIF('1.1 FY2016'!$B$5:$B$61,'2.1 Database'!$B11,'1.1 FY2016'!$F$5:$F$61)</f>
        <v>-16977.628000000001</v>
      </c>
      <c r="G11" s="25">
        <f>-SUMIF('1.2 FY2017'!$B$5:$B$86,'2.1 Database'!B11,'1.2 FY2017'!$F$5:$F$86)</f>
        <v>-343675</v>
      </c>
      <c r="H11" s="25">
        <f>-SUMIF('1.3 FY2018'!$B$5:$B$78,'2.1 Database'!$B11,'1.3 FY2018'!$F$5:$F$78)</f>
        <v>-350370.99399999995</v>
      </c>
    </row>
    <row r="12" spans="2:8" x14ac:dyDescent="0.25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25">
        <f>-SUMIF('1.1 FY2016'!$B$5:$B$61,'2.1 Database'!$B12,'1.1 FY2016'!$F$5:$F$61)</f>
        <v>-2245437.54</v>
      </c>
      <c r="G12" s="25">
        <f>-SUMIF('1.2 FY2017'!$B$5:$B$86,'2.1 Database'!B12,'1.2 FY2017'!$F$5:$F$86)</f>
        <v>-1980162.23</v>
      </c>
      <c r="H12" s="25">
        <f>-SUMIF('1.3 FY2018'!$B$5:$B$78,'2.1 Database'!$B12,'1.3 FY2018'!$F$5:$F$78)</f>
        <v>-3116017.1540000001</v>
      </c>
    </row>
    <row r="13" spans="2:8" x14ac:dyDescent="0.25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25">
        <f>-SUMIF('1.1 FY2016'!$B$5:$B$61,'2.1 Database'!$B13,'1.1 FY2016'!$F$5:$F$61)</f>
        <v>-16605.634000000002</v>
      </c>
      <c r="G13" s="25">
        <f>-SUMIF('1.2 FY2017'!$B$5:$B$86,'2.1 Database'!B13,'1.2 FY2017'!$F$5:$F$86)</f>
        <v>-27148.625</v>
      </c>
      <c r="H13" s="25">
        <f>-SUMIF('1.3 FY2018'!$B$5:$B$78,'2.1 Database'!$B13,'1.3 FY2018'!$F$5:$F$78)</f>
        <v>-9783.7069999999985</v>
      </c>
    </row>
    <row r="14" spans="2:8" x14ac:dyDescent="0.25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25">
        <f>-SUMIF('1.1 FY2016'!$B$5:$B$61,'2.1 Database'!$B14,'1.1 FY2016'!$F$5:$F$61)</f>
        <v>-4683394.0460000001</v>
      </c>
      <c r="G14" s="25">
        <f>-SUMIF('1.2 FY2017'!$B$5:$B$86,'2.1 Database'!B14,'1.2 FY2017'!$F$5:$F$86)</f>
        <v>-5507141.0549999997</v>
      </c>
      <c r="H14" s="25">
        <f>-SUMIF('1.3 FY2018'!$B$5:$B$78,'2.1 Database'!$B14,'1.3 FY2018'!$F$5:$F$78)</f>
        <v>-3982699.5329999998</v>
      </c>
    </row>
    <row r="15" spans="2:8" x14ac:dyDescent="0.25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25">
        <f>-SUMIF('1.1 FY2016'!$B$5:$B$61,'2.1 Database'!$B15,'1.1 FY2016'!$F$5:$F$61)</f>
        <v>-1143051.5760000001</v>
      </c>
      <c r="G15" s="25">
        <f>-SUMIF('1.2 FY2017'!$B$5:$B$86,'2.1 Database'!B15,'1.2 FY2017'!$F$5:$F$86)</f>
        <v>-2057298.04</v>
      </c>
      <c r="H15" s="25">
        <f>-SUMIF('1.3 FY2018'!$B$5:$B$78,'2.1 Database'!$B15,'1.3 FY2018'!$F$5:$F$78)</f>
        <v>-1709688.6429999997</v>
      </c>
    </row>
    <row r="16" spans="2:8" x14ac:dyDescent="0.25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25">
        <f>-SUMIF('1.1 FY2016'!$B$5:$B$61,'2.1 Database'!$B16,'1.1 FY2016'!$F$5:$F$61)</f>
        <v>-239379.61800000002</v>
      </c>
      <c r="G16" s="25">
        <f>-SUMIF('1.2 FY2017'!$B$5:$B$86,'2.1 Database'!B16,'1.2 FY2017'!$F$5:$F$86)</f>
        <v>0</v>
      </c>
      <c r="H16" s="25">
        <f>-SUMIF('1.3 FY2018'!$B$5:$B$78,'2.1 Database'!$B16,'1.3 FY2018'!$F$5:$F$78)</f>
        <v>0</v>
      </c>
    </row>
    <row r="17" spans="2:8" x14ac:dyDescent="0.25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25">
        <f>-SUMIF('1.1 FY2016'!$B$5:$B$61,'2.1 Database'!$B17,'1.1 FY2016'!$F$5:$F$61)</f>
        <v>-104913.8</v>
      </c>
      <c r="G17" s="25">
        <f>-SUMIF('1.2 FY2017'!$B$5:$B$86,'2.1 Database'!B17,'1.2 FY2017'!$F$5:$F$86)</f>
        <v>-500500</v>
      </c>
      <c r="H17" s="25">
        <f>-SUMIF('1.3 FY2018'!$B$5:$B$78,'2.1 Database'!$B17,'1.3 FY2018'!$F$5:$F$78)</f>
        <v>-143500</v>
      </c>
    </row>
    <row r="18" spans="2:8" x14ac:dyDescent="0.25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25">
        <f>-SUMIF('1.1 FY2016'!$B$5:$B$61,'2.1 Database'!$B18,'1.1 FY2016'!$F$5:$F$61)</f>
        <v>-2003262.2180000001</v>
      </c>
      <c r="G18" s="25">
        <f>-SUMIF('1.2 FY2017'!$B$5:$B$86,'2.1 Database'!B18,'1.2 FY2017'!$F$5:$F$86)</f>
        <v>-1897676.87</v>
      </c>
      <c r="H18" s="25">
        <f>-SUMIF('1.3 FY2018'!$B$5:$B$78,'2.1 Database'!$B18,'1.3 FY2018'!$F$5:$F$78)</f>
        <v>-1875768.159</v>
      </c>
    </row>
    <row r="19" spans="2:8" x14ac:dyDescent="0.25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25">
        <f>-SUMIF('1.1 FY2016'!$B$5:$B$61,'2.1 Database'!$B19,'1.1 FY2016'!$F$5:$F$61)</f>
        <v>-41981.296000000002</v>
      </c>
      <c r="G19" s="25">
        <f>-SUMIF('1.2 FY2017'!$B$5:$B$86,'2.1 Database'!B19,'1.2 FY2017'!$F$5:$F$86)</f>
        <v>0</v>
      </c>
      <c r="H19" s="25">
        <f>-SUMIF('1.3 FY2018'!$B$5:$B$78,'2.1 Database'!$B19,'1.3 FY2018'!$F$5:$F$78)</f>
        <v>0</v>
      </c>
    </row>
    <row r="20" spans="2:8" x14ac:dyDescent="0.25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25">
        <f>-SUMIF('1.1 FY2016'!$B$5:$B$61,'2.1 Database'!$B20,'1.1 FY2016'!$F$5:$F$61)</f>
        <v>2156147.4</v>
      </c>
      <c r="G20" s="25">
        <f>-SUMIF('1.2 FY2017'!$B$5:$B$86,'2.1 Database'!B20,'1.2 FY2017'!$F$5:$F$86)</f>
        <v>1643711.145</v>
      </c>
      <c r="H20" s="25">
        <f>-SUMIF('1.3 FY2018'!$B$5:$B$78,'2.1 Database'!$B20,'1.3 FY2018'!$F$5:$F$78)</f>
        <v>1418521.358</v>
      </c>
    </row>
    <row r="21" spans="2:8" x14ac:dyDescent="0.25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25">
        <f>-SUMIF('1.1 FY2016'!$B$5:$B$61,'2.1 Database'!$B21,'1.1 FY2016'!$F$5:$F$61)</f>
        <v>291428.55199999997</v>
      </c>
      <c r="G21" s="25">
        <f>-SUMIF('1.2 FY2017'!$B$5:$B$86,'2.1 Database'!B21,'1.2 FY2017'!$F$5:$F$86)</f>
        <v>0</v>
      </c>
      <c r="H21" s="25">
        <f>-SUMIF('1.3 FY2018'!$B$5:$B$78,'2.1 Database'!$B21,'1.3 FY2018'!$F$5:$F$78)</f>
        <v>0</v>
      </c>
    </row>
    <row r="22" spans="2:8" x14ac:dyDescent="0.25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25">
        <f>-SUMIF('1.1 FY2016'!$B$5:$B$61,'2.1 Database'!$B22,'1.1 FY2016'!$F$5:$F$61)</f>
        <v>0</v>
      </c>
      <c r="G22" s="25">
        <f>-SUMIF('1.2 FY2017'!$B$5:$B$86,'2.1 Database'!B22,'1.2 FY2017'!$F$5:$F$86)</f>
        <v>0</v>
      </c>
      <c r="H22" s="25">
        <f>-SUMIF('1.3 FY2018'!$B$5:$B$78,'2.1 Database'!$B22,'1.3 FY2018'!$F$5:$F$78)</f>
        <v>0</v>
      </c>
    </row>
    <row r="23" spans="2:8" x14ac:dyDescent="0.25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25">
        <f>-SUMIF('1.1 FY2016'!$B$5:$B$61,'2.1 Database'!$B23,'1.1 FY2016'!$F$5:$F$61)</f>
        <v>33736.5</v>
      </c>
      <c r="G23" s="25">
        <f>-SUMIF('1.2 FY2017'!$B$5:$B$86,'2.1 Database'!B23,'1.2 FY2017'!$F$5:$F$86)</f>
        <v>0</v>
      </c>
      <c r="H23" s="25">
        <f>-SUMIF('1.3 FY2018'!$B$5:$B$78,'2.1 Database'!$B23,'1.3 FY2018'!$F$5:$F$78)</f>
        <v>0</v>
      </c>
    </row>
    <row r="24" spans="2:8" x14ac:dyDescent="0.25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25">
        <f>-SUMIF('1.1 FY2016'!$B$5:$B$61,'2.1 Database'!$B24,'1.1 FY2016'!$F$5:$F$61)</f>
        <v>0</v>
      </c>
      <c r="G24" s="25">
        <f>-SUMIF('1.2 FY2017'!$B$5:$B$86,'2.1 Database'!B24,'1.2 FY2017'!$F$5:$F$86)</f>
        <v>0</v>
      </c>
      <c r="H24" s="25">
        <f>-SUMIF('1.3 FY2018'!$B$5:$B$78,'2.1 Database'!$B24,'1.3 FY2018'!$F$5:$F$78)</f>
        <v>0</v>
      </c>
    </row>
    <row r="25" spans="2:8" x14ac:dyDescent="0.25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25">
        <f>-SUMIF('1.1 FY2016'!$B$5:$B$61,'2.1 Database'!$B25,'1.1 FY2016'!$F$5:$F$61)</f>
        <v>0</v>
      </c>
      <c r="G25" s="25">
        <f>-SUMIF('1.2 FY2017'!$B$5:$B$86,'2.1 Database'!B25,'1.2 FY2017'!$F$5:$F$86)</f>
        <v>0</v>
      </c>
      <c r="H25" s="25">
        <f>-SUMIF('1.3 FY2018'!$B$5:$B$78,'2.1 Database'!$B25,'1.3 FY2018'!$F$5:$F$78)</f>
        <v>0</v>
      </c>
    </row>
    <row r="26" spans="2:8" x14ac:dyDescent="0.25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25">
        <f>-SUMIF('1.1 FY2016'!$B$5:$B$61,'2.1 Database'!$B26,'1.1 FY2016'!$F$5:$F$61)</f>
        <v>0</v>
      </c>
      <c r="G26" s="25">
        <f>-SUMIF('1.2 FY2017'!$B$5:$B$86,'2.1 Database'!B26,'1.2 FY2017'!$F$5:$F$86)</f>
        <v>0</v>
      </c>
      <c r="H26" s="25">
        <f>-SUMIF('1.3 FY2018'!$B$5:$B$78,'2.1 Database'!$B26,'1.3 FY2018'!$F$5:$F$78)</f>
        <v>0</v>
      </c>
    </row>
    <row r="27" spans="2:8" x14ac:dyDescent="0.25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25">
        <f>-SUMIF('1.1 FY2016'!$B$5:$B$61,'2.1 Database'!$B27,'1.1 FY2016'!$F$5:$F$61)</f>
        <v>199600.4</v>
      </c>
      <c r="G27" s="25">
        <f>-SUMIF('1.2 FY2017'!$B$5:$B$86,'2.1 Database'!B27,'1.2 FY2017'!$F$5:$F$86)</f>
        <v>10461.36</v>
      </c>
      <c r="H27" s="25">
        <f>-SUMIF('1.3 FY2018'!$B$5:$B$78,'2.1 Database'!$B27,'1.3 FY2018'!$F$5:$F$78)</f>
        <v>0</v>
      </c>
    </row>
    <row r="28" spans="2:8" x14ac:dyDescent="0.25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25">
        <f>-SUMIF('1.1 FY2016'!$B$5:$B$61,'2.1 Database'!$B28,'1.1 FY2016'!$F$5:$F$61)</f>
        <v>539141.4</v>
      </c>
      <c r="G28" s="25">
        <f>-SUMIF('1.2 FY2017'!$B$5:$B$86,'2.1 Database'!B28,'1.2 FY2017'!$F$5:$F$86)</f>
        <v>6785.94</v>
      </c>
      <c r="H28" s="25">
        <f>-SUMIF('1.3 FY2018'!$B$5:$B$78,'2.1 Database'!$B28,'1.3 FY2018'!$F$5:$F$78)</f>
        <v>902857.84299999999</v>
      </c>
    </row>
    <row r="29" spans="2:8" x14ac:dyDescent="0.25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25">
        <f>-SUMIF('1.1 FY2016'!$B$5:$B$61,'2.1 Database'!$B29,'1.1 FY2016'!$F$5:$F$61)</f>
        <v>57.221999999999994</v>
      </c>
      <c r="G29" s="25">
        <f>-SUMIF('1.2 FY2017'!$B$5:$B$86,'2.1 Database'!B29,'1.2 FY2017'!$F$5:$F$86)</f>
        <v>-9793.84</v>
      </c>
      <c r="H29" s="25">
        <f>-SUMIF('1.3 FY2018'!$B$5:$B$78,'2.1 Database'!$B29,'1.3 FY2018'!$F$5:$F$78)</f>
        <v>15872.001999999999</v>
      </c>
    </row>
    <row r="30" spans="2:8" x14ac:dyDescent="0.25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25">
        <f>-SUMIF('1.1 FY2016'!$B$5:$B$61,'2.1 Database'!$B30,'1.1 FY2016'!$F$5:$F$61)</f>
        <v>-22314.879999999997</v>
      </c>
      <c r="G30" s="25">
        <f>-SUMIF('1.2 FY2017'!$B$5:$B$86,'2.1 Database'!B30,'1.2 FY2017'!$F$5:$F$86)</f>
        <v>-65947.7</v>
      </c>
      <c r="H30" s="25">
        <f>-SUMIF('1.3 FY2018'!$B$5:$B$78,'2.1 Database'!$B30,'1.3 FY2018'!$F$5:$F$78)</f>
        <v>-57.317999999999998</v>
      </c>
    </row>
    <row r="31" spans="2:8" x14ac:dyDescent="0.25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25">
        <f>-SUMIF('1.1 FY2016'!$B$5:$B$61,'2.1 Database'!$B31,'1.1 FY2016'!$F$5:$F$61)</f>
        <v>-204000</v>
      </c>
      <c r="G31" s="25">
        <f>-SUMIF('1.2 FY2017'!$B$5:$B$86,'2.1 Database'!B31,'1.2 FY2017'!$F$5:$F$86)</f>
        <v>0</v>
      </c>
      <c r="H31" s="25">
        <f>-SUMIF('1.3 FY2018'!$B$5:$B$78,'2.1 Database'!$B31,'1.3 FY2018'!$F$5:$F$78)</f>
        <v>0</v>
      </c>
    </row>
    <row r="32" spans="2:8" x14ac:dyDescent="0.25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25">
        <f>-SUMIF('1.1 FY2016'!$B$5:$B$61,'2.1 Database'!$B32,'1.1 FY2016'!$F$5:$F$61)</f>
        <v>-138.41399999999999</v>
      </c>
      <c r="G32" s="25">
        <f>-SUMIF('1.2 FY2017'!$B$5:$B$86,'2.1 Database'!B32,'1.2 FY2017'!$F$5:$F$86)</f>
        <v>-5138.91</v>
      </c>
      <c r="H32" s="25">
        <f>-SUMIF('1.3 FY2018'!$B$5:$B$78,'2.1 Database'!$B32,'1.3 FY2018'!$F$5:$F$78)</f>
        <v>-19198.66</v>
      </c>
    </row>
    <row r="33" spans="2:8" x14ac:dyDescent="0.25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25">
        <f>-SUMIF('1.1 FY2016'!$B$5:$B$61,'2.1 Database'!$B33,'1.1 FY2016'!$F$5:$F$61)</f>
        <v>-1127445.872</v>
      </c>
      <c r="G33" s="25">
        <f>-SUMIF('1.2 FY2017'!$B$5:$B$86,'2.1 Database'!B33,'1.2 FY2017'!$F$5:$F$86)</f>
        <v>-1055381.4750000001</v>
      </c>
      <c r="H33" s="25">
        <f>-SUMIF('1.3 FY2018'!$B$5:$B$78,'2.1 Database'!$B33,'1.3 FY2018'!$F$5:$F$78)</f>
        <v>172933.44899999999</v>
      </c>
    </row>
    <row r="34" spans="2:8" x14ac:dyDescent="0.25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25">
        <f>-SUMIF('1.1 FY2016'!$B$5:$B$61,'2.1 Database'!$B34,'1.1 FY2016'!$F$5:$F$61)</f>
        <v>-133722</v>
      </c>
      <c r="G34" s="25">
        <f>-SUMIF('1.2 FY2017'!$B$5:$B$86,'2.1 Database'!B34,'1.2 FY2017'!$F$5:$F$86)</f>
        <v>0</v>
      </c>
      <c r="H34" s="25">
        <f>-SUMIF('1.3 FY2018'!$B$5:$B$78,'2.1 Database'!$B34,'1.3 FY2018'!$F$5:$F$78)</f>
        <v>0</v>
      </c>
    </row>
    <row r="35" spans="2:8" x14ac:dyDescent="0.25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25">
        <f>-SUMIF('1.1 FY2016'!$B$5:$B$61,'2.1 Database'!$B35,'1.1 FY2016'!$F$5:$F$61)</f>
        <v>-328061.886</v>
      </c>
      <c r="G35" s="25">
        <f>-SUMIF('1.2 FY2017'!$B$5:$B$86,'2.1 Database'!B35,'1.2 FY2017'!$F$5:$F$86)</f>
        <v>-430845.34499999997</v>
      </c>
      <c r="H35" s="25">
        <f>-SUMIF('1.3 FY2018'!$B$5:$B$78,'2.1 Database'!$B35,'1.3 FY2018'!$F$5:$F$78)</f>
        <v>0</v>
      </c>
    </row>
    <row r="36" spans="2:8" x14ac:dyDescent="0.25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25">
        <f>-SUMIF('1.1 FY2016'!$B$5:$B$61,'2.1 Database'!$B36,'1.1 FY2016'!$F$5:$F$61)</f>
        <v>-2081304.3219999997</v>
      </c>
      <c r="G36" s="25">
        <f>-SUMIF('1.2 FY2017'!$B$5:$B$86,'2.1 Database'!B36,'1.2 FY2017'!$F$5:$F$86)</f>
        <v>-1130021</v>
      </c>
      <c r="H36" s="25">
        <f>-SUMIF('1.3 FY2018'!$B$5:$B$78,'2.1 Database'!$B36,'1.3 FY2018'!$F$5:$F$78)</f>
        <v>-1481408.47</v>
      </c>
    </row>
    <row r="37" spans="2:8" x14ac:dyDescent="0.25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25">
        <f>-SUMIF('1.1 FY2016'!$B$5:$B$61,'2.1 Database'!$B37,'1.1 FY2016'!$F$5:$F$61)</f>
        <v>-33410.031999999999</v>
      </c>
      <c r="G37" s="25">
        <f>-SUMIF('1.2 FY2017'!$B$5:$B$86,'2.1 Database'!B37,'1.2 FY2017'!$F$5:$F$86)</f>
        <v>-7293.5450000000001</v>
      </c>
      <c r="H37" s="25">
        <f>-SUMIF('1.3 FY2018'!$B$5:$B$78,'2.1 Database'!$B37,'1.3 FY2018'!$F$5:$F$78)</f>
        <v>-40048.799999999996</v>
      </c>
    </row>
    <row r="38" spans="2:8" x14ac:dyDescent="0.25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25">
        <f>-SUMIF('1.1 FY2016'!$B$5:$B$61,'2.1 Database'!$B38,'1.1 FY2016'!$F$5:$F$61)</f>
        <v>-213090.85199999998</v>
      </c>
      <c r="G38" s="25">
        <f>-SUMIF('1.2 FY2017'!$B$5:$B$86,'2.1 Database'!B38,'1.2 FY2017'!$F$5:$F$86)</f>
        <v>-48468.665000000001</v>
      </c>
      <c r="H38" s="25">
        <f>-SUMIF('1.3 FY2018'!$B$5:$B$78,'2.1 Database'!$B38,'1.3 FY2018'!$F$5:$F$78)</f>
        <v>-64039.82699999999</v>
      </c>
    </row>
    <row r="39" spans="2:8" x14ac:dyDescent="0.25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25">
        <f>-SUMIF('1.1 FY2016'!$B$5:$B$61,'2.1 Database'!$B39,'1.1 FY2016'!$F$5:$F$61)</f>
        <v>-1813525.004</v>
      </c>
      <c r="G39" s="25">
        <f>-SUMIF('1.2 FY2017'!$B$5:$B$86,'2.1 Database'!B39,'1.2 FY2017'!$F$5:$F$86)</f>
        <v>-2393259.19</v>
      </c>
      <c r="H39" s="25">
        <f>-SUMIF('1.3 FY2018'!$B$5:$B$78,'2.1 Database'!$B39,'1.3 FY2018'!$F$5:$F$78)</f>
        <v>-2514431.8869999996</v>
      </c>
    </row>
    <row r="40" spans="2:8" x14ac:dyDescent="0.25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25">
        <f>-SUMIF('1.1 FY2016'!$B$5:$B$61,'2.1 Database'!$B40,'1.1 FY2016'!$F$5:$F$61)</f>
        <v>-5552.2</v>
      </c>
      <c r="G40" s="25">
        <f>-SUMIF('1.2 FY2017'!$B$5:$B$86,'2.1 Database'!B40,'1.2 FY2017'!$F$5:$F$86)</f>
        <v>-23069.654999999999</v>
      </c>
      <c r="H40" s="25">
        <f>-SUMIF('1.3 FY2018'!$B$5:$B$78,'2.1 Database'!$B40,'1.3 FY2018'!$F$5:$F$78)</f>
        <v>-4194.2999999999993</v>
      </c>
    </row>
    <row r="41" spans="2:8" x14ac:dyDescent="0.25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25">
        <f>-SUMIF('1.1 FY2016'!$B$5:$B$61,'2.1 Database'!$B41,'1.1 FY2016'!$F$5:$F$61)</f>
        <v>-43868.975999999995</v>
      </c>
      <c r="G41" s="25">
        <f>-SUMIF('1.2 FY2017'!$B$5:$B$86,'2.1 Database'!B41,'1.2 FY2017'!$F$5:$F$86)</f>
        <v>-208366.935</v>
      </c>
      <c r="H41" s="25">
        <f>-SUMIF('1.3 FY2018'!$B$5:$B$78,'2.1 Database'!$B41,'1.3 FY2018'!$F$5:$F$78)</f>
        <v>-106525.708</v>
      </c>
    </row>
    <row r="42" spans="2:8" x14ac:dyDescent="0.25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25">
        <f>-SUMIF('1.1 FY2016'!$B$5:$B$61,'2.1 Database'!$B42,'1.1 FY2016'!$F$5:$F$61)</f>
        <v>-10934.671999999999</v>
      </c>
      <c r="G42" s="25">
        <f>-SUMIF('1.2 FY2017'!$B$5:$B$86,'2.1 Database'!B42,'1.2 FY2017'!$F$5:$F$86)</f>
        <v>-20323.309999999998</v>
      </c>
      <c r="H42" s="25">
        <f>-SUMIF('1.3 FY2018'!$B$5:$B$78,'2.1 Database'!$B42,'1.3 FY2018'!$F$5:$F$78)</f>
        <v>-109811.284</v>
      </c>
    </row>
    <row r="43" spans="2:8" x14ac:dyDescent="0.25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25">
        <f>-SUMIF('1.1 FY2016'!$B$5:$B$61,'2.1 Database'!$B43,'1.1 FY2016'!$F$5:$F$61)</f>
        <v>-20400</v>
      </c>
      <c r="G43" s="25">
        <f>-SUMIF('1.2 FY2017'!$B$5:$B$86,'2.1 Database'!B43,'1.2 FY2017'!$F$5:$F$86)</f>
        <v>-169489</v>
      </c>
      <c r="H43" s="25">
        <f>-SUMIF('1.3 FY2018'!$B$5:$B$78,'2.1 Database'!$B43,'1.3 FY2018'!$F$5:$F$78)</f>
        <v>-61111.483999999997</v>
      </c>
    </row>
    <row r="44" spans="2:8" x14ac:dyDescent="0.25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25">
        <f>-SUMIF('1.1 FY2016'!$B$5:$B$61,'2.1 Database'!$B44,'1.1 FY2016'!$F$5:$F$61)</f>
        <v>0</v>
      </c>
      <c r="G44" s="25">
        <f>-SUMIF('1.2 FY2017'!$B$5:$B$86,'2.1 Database'!B44,'1.2 FY2017'!$F$5:$F$86)</f>
        <v>0</v>
      </c>
      <c r="H44" s="25">
        <f>-SUMIF('1.3 FY2018'!$B$5:$B$78,'2.1 Database'!$B44,'1.3 FY2018'!$F$5:$F$78)</f>
        <v>-1684415.2999999998</v>
      </c>
    </row>
    <row r="45" spans="2:8" x14ac:dyDescent="0.25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25">
        <f>-SUMIF('1.1 FY2016'!$B$5:$B$61,'2.1 Database'!$B45,'1.1 FY2016'!$F$5:$F$61)</f>
        <v>-563918.152</v>
      </c>
      <c r="G45" s="25">
        <f>-SUMIF('1.2 FY2017'!$B$5:$B$86,'2.1 Database'!B45,'1.2 FY2017'!$F$5:$F$86)</f>
        <v>-638869.13</v>
      </c>
      <c r="H45" s="25">
        <f>-SUMIF('1.3 FY2018'!$B$5:$B$78,'2.1 Database'!$B45,'1.3 FY2018'!$F$5:$F$78)</f>
        <v>-575626.2649999999</v>
      </c>
    </row>
    <row r="46" spans="2:8" x14ac:dyDescent="0.25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25">
        <f>-SUMIF('1.1 FY2016'!$B$5:$B$61,'2.1 Database'!$B46,'1.1 FY2016'!$F$5:$F$61)</f>
        <v>0</v>
      </c>
      <c r="G46" s="25">
        <f>-SUMIF('1.2 FY2017'!$B$5:$B$86,'2.1 Database'!B46,'1.2 FY2017'!$F$5:$F$86)</f>
        <v>0</v>
      </c>
      <c r="H46" s="25">
        <f>-SUMIF('1.3 FY2018'!$B$5:$B$78,'2.1 Database'!$B46,'1.3 FY2018'!$F$5:$F$78)</f>
        <v>0</v>
      </c>
    </row>
    <row r="47" spans="2:8" x14ac:dyDescent="0.25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25">
        <f>-SUMIF('1.1 FY2016'!$B$5:$B$61,'2.1 Database'!$B47,'1.1 FY2016'!$F$5:$F$61)</f>
        <v>0</v>
      </c>
      <c r="G47" s="25">
        <f>-SUMIF('1.2 FY2017'!$B$5:$B$86,'2.1 Database'!B47,'1.2 FY2017'!$F$5:$F$86)</f>
        <v>0</v>
      </c>
      <c r="H47" s="25">
        <f>-SUMIF('1.3 FY2018'!$B$5:$B$78,'2.1 Database'!$B47,'1.3 FY2018'!$F$5:$F$78)</f>
        <v>0</v>
      </c>
    </row>
    <row r="48" spans="2:8" x14ac:dyDescent="0.25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25">
        <f>-SUMIF('1.1 FY2016'!$B$5:$B$61,'2.1 Database'!$B48,'1.1 FY2016'!$F$5:$F$61)</f>
        <v>0</v>
      </c>
      <c r="G48" s="25">
        <f>-SUMIF('1.2 FY2017'!$B$5:$B$86,'2.1 Database'!B48,'1.2 FY2017'!$F$5:$F$86)</f>
        <v>0</v>
      </c>
      <c r="H48" s="25">
        <f>-SUMIF('1.3 FY2018'!$B$5:$B$78,'2.1 Database'!$B48,'1.3 FY2018'!$F$5:$F$78)</f>
        <v>0</v>
      </c>
    </row>
    <row r="49" spans="2:8" x14ac:dyDescent="0.25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25">
        <f>-SUMIF('1.1 FY2016'!$B$5:$B$61,'2.1 Database'!$B49,'1.1 FY2016'!$F$5:$F$61)</f>
        <v>0</v>
      </c>
      <c r="G49" s="25">
        <f>-SUMIF('1.2 FY2017'!$B$5:$B$86,'2.1 Database'!B49,'1.2 FY2017'!$F$5:$F$86)</f>
        <v>0</v>
      </c>
      <c r="H49" s="25">
        <f>-SUMIF('1.3 FY2018'!$B$5:$B$78,'2.1 Database'!$B49,'1.3 FY2018'!$F$5:$F$78)</f>
        <v>0</v>
      </c>
    </row>
    <row r="50" spans="2:8" x14ac:dyDescent="0.25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25">
        <f>-SUMIF('1.1 FY2016'!$B$5:$B$61,'2.1 Database'!$B50,'1.1 FY2016'!$F$5:$F$61)</f>
        <v>0</v>
      </c>
      <c r="G50" s="25">
        <f>-SUMIF('1.2 FY2017'!$B$5:$B$86,'2.1 Database'!B50,'1.2 FY2017'!$F$5:$F$86)</f>
        <v>0</v>
      </c>
      <c r="H50" s="25">
        <f>-SUMIF('1.3 FY2018'!$B$5:$B$78,'2.1 Database'!$B50,'1.3 FY2018'!$F$5:$F$78)</f>
        <v>0</v>
      </c>
    </row>
    <row r="51" spans="2:8" x14ac:dyDescent="0.25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25">
        <f>-SUMIF('1.1 FY2016'!$B$5:$B$61,'2.1 Database'!$B51,'1.1 FY2016'!$F$5:$F$61)</f>
        <v>0</v>
      </c>
      <c r="G51" s="25">
        <f>-SUMIF('1.2 FY2017'!$B$5:$B$86,'2.1 Database'!B51,'1.2 FY2017'!$F$5:$F$86)</f>
        <v>0</v>
      </c>
      <c r="H51" s="25">
        <f>-SUMIF('1.3 FY2018'!$B$5:$B$78,'2.1 Database'!$B51,'1.3 FY2018'!$F$5:$F$78)</f>
        <v>0</v>
      </c>
    </row>
    <row r="52" spans="2:8" x14ac:dyDescent="0.25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25">
        <f>-SUMIF('1.1 FY2016'!$B$5:$B$61,'2.1 Database'!$B52,'1.1 FY2016'!$F$5:$F$61)</f>
        <v>35810.228000000003</v>
      </c>
      <c r="G52" s="25">
        <f>-SUMIF('1.2 FY2017'!$B$5:$B$86,'2.1 Database'!B52,'1.2 FY2017'!$F$5:$F$86)</f>
        <v>34224.959999999999</v>
      </c>
      <c r="H52" s="25">
        <f>-SUMIF('1.3 FY2018'!$B$5:$B$78,'2.1 Database'!$B52,'1.3 FY2018'!$F$5:$F$78)</f>
        <v>0</v>
      </c>
    </row>
    <row r="53" spans="2:8" x14ac:dyDescent="0.25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25">
        <f>-SUMIF('1.1 FY2016'!$B$5:$B$61,'2.1 Database'!$B53,'1.1 FY2016'!$F$5:$F$61)</f>
        <v>51927.417999999998</v>
      </c>
      <c r="G53" s="25">
        <f>-SUMIF('1.2 FY2017'!$B$5:$B$86,'2.1 Database'!B53,'1.2 FY2017'!$F$5:$F$86)</f>
        <v>2204.7199999999998</v>
      </c>
      <c r="H53" s="25">
        <f>-SUMIF('1.3 FY2018'!$B$5:$B$78,'2.1 Database'!$B53,'1.3 FY2018'!$F$5:$F$78)</f>
        <v>73809.511999999988</v>
      </c>
    </row>
    <row r="54" spans="2:8" x14ac:dyDescent="0.25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25">
        <f>-SUMIF('1.1 FY2016'!$B$5:$B$61,'2.1 Database'!$B54,'1.1 FY2016'!$F$5:$F$61)</f>
        <v>862270.63399999996</v>
      </c>
      <c r="G54" s="25">
        <f>-SUMIF('1.2 FY2017'!$B$5:$B$86,'2.1 Database'!B54,'1.2 FY2017'!$F$5:$F$86)</f>
        <v>0</v>
      </c>
      <c r="H54" s="25">
        <f>-SUMIF('1.3 FY2018'!$B$5:$B$78,'2.1 Database'!$B54,'1.3 FY2018'!$F$5:$F$78)</f>
        <v>0</v>
      </c>
    </row>
    <row r="55" spans="2:8" x14ac:dyDescent="0.25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25">
        <f>-SUMIF('1.1 FY2016'!$B$5:$B$61,'2.1 Database'!$B55,'1.1 FY2016'!$F$5:$F$61)</f>
        <v>-22763</v>
      </c>
      <c r="G55" s="25">
        <f>-SUMIF('1.2 FY2017'!$B$5:$B$86,'2.1 Database'!B55,'1.2 FY2017'!$F$5:$F$86)</f>
        <v>-80617.179999999993</v>
      </c>
      <c r="H55" s="25">
        <f>-SUMIF('1.3 FY2018'!$B$5:$B$78,'2.1 Database'!$B55,'1.3 FY2018'!$F$5:$F$78)</f>
        <v>-7173.195999999999</v>
      </c>
    </row>
    <row r="56" spans="2:8" x14ac:dyDescent="0.25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25">
        <f>-SUMIF('1.1 FY2016'!$B$5:$B$61,'2.1 Database'!$B56,'1.1 FY2016'!$F$5:$F$61)</f>
        <v>-2930430.0120000001</v>
      </c>
      <c r="G56" s="25">
        <f>-SUMIF('1.2 FY2017'!$B$5:$B$86,'2.1 Database'!B56,'1.2 FY2017'!$F$5:$F$86)</f>
        <v>-2752704.22</v>
      </c>
      <c r="H56" s="25">
        <f>-SUMIF('1.3 FY2018'!$B$5:$B$78,'2.1 Database'!$B56,'1.3 FY2018'!$F$5:$F$78)</f>
        <v>-2324465.8859999999</v>
      </c>
    </row>
    <row r="57" spans="2:8" x14ac:dyDescent="0.25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25">
        <f>-SUMIF('1.1 FY2016'!$B$5:$B$61,'2.1 Database'!$B57,'1.1 FY2016'!$F$5:$F$61)</f>
        <v>49378.641999999993</v>
      </c>
      <c r="G57" s="25">
        <f>-SUMIF('1.2 FY2017'!$B$5:$B$86,'2.1 Database'!B57,'1.2 FY2017'!$F$5:$F$86)</f>
        <v>-496748.70000000007</v>
      </c>
      <c r="H57" s="25">
        <f>-SUMIF('1.3 FY2018'!$B$5:$B$78,'2.1 Database'!$B57,'1.3 FY2018'!$F$5:$F$78)</f>
        <v>-2558.1950000000002</v>
      </c>
    </row>
    <row r="58" spans="2:8" x14ac:dyDescent="0.25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25">
        <f>-SUMIF('1.1 FY2016'!$B$5:$B$61,'2.1 Database'!$B58,'1.1 FY2016'!$F$5:$F$61)</f>
        <v>-516250.67</v>
      </c>
      <c r="G58" s="25">
        <f>-SUMIF('1.2 FY2017'!$B$5:$B$86,'2.1 Database'!B58,'1.2 FY2017'!$F$5:$F$86)</f>
        <v>-480872.96000000002</v>
      </c>
      <c r="H58" s="25">
        <f>-SUMIF('1.3 FY2018'!$B$5:$B$78,'2.1 Database'!$B58,'1.3 FY2018'!$F$5:$F$78)</f>
        <v>-522710.353</v>
      </c>
    </row>
    <row r="59" spans="2:8" x14ac:dyDescent="0.25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25">
        <f>-SUMIF('1.1 FY2016'!$B$5:$B$61,'2.1 Database'!$B59,'1.1 FY2016'!$F$5:$F$61)</f>
        <v>-21593.093999999997</v>
      </c>
      <c r="G59" s="25">
        <f>-SUMIF('1.2 FY2017'!$B$5:$B$86,'2.1 Database'!B59,'1.2 FY2017'!$F$5:$F$86)</f>
        <v>-6570.3050000000003</v>
      </c>
      <c r="H59" s="25">
        <f>-SUMIF('1.3 FY2018'!$B$5:$B$78,'2.1 Database'!$B59,'1.3 FY2018'!$F$5:$F$78)</f>
        <v>160303.52199999997</v>
      </c>
    </row>
    <row r="60" spans="2:8" x14ac:dyDescent="0.25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25">
        <f>SUMIF('1.1 FY2016'!$B$5:$B$61,'2.1 Database'!$B60,'1.1 FY2016'!$F$5:$F$61)</f>
        <v>-2904117.9939999986</v>
      </c>
      <c r="G60" s="25">
        <f>SUMIF('1.2 FY2017'!$B$5:$B$86,'2.1 Database'!B60,'1.2 FY2017'!$F$5:$F$86)</f>
        <v>0</v>
      </c>
      <c r="H60" s="25">
        <f>SUMIF('1.3 FY2018'!$B$5:$B$78,'2.1 Database'!$B60,'1.3 FY2018'!$F$5:$F$78)</f>
        <v>0</v>
      </c>
    </row>
    <row r="61" spans="2:8" x14ac:dyDescent="0.25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25">
        <f>-SUMIF('1.1 FY2016'!$B$5:$B$61,'2.1 Database'!$B61,'1.1 FY2016'!$F$5:$F$61)</f>
        <v>0</v>
      </c>
      <c r="G61" s="25">
        <f>-SUMIF('1.2 FY2017'!$B$5:$B$86,'2.1 Database'!B61,'1.2 FY2017'!$F$5:$F$86)</f>
        <v>355396.61499999999</v>
      </c>
      <c r="H61" s="25">
        <f>-SUMIF('1.3 FY2018'!$B$5:$B$78,'2.1 Database'!$B61,'1.3 FY2018'!$F$5:$F$78)</f>
        <v>616462.01899999997</v>
      </c>
    </row>
    <row r="62" spans="2:8" x14ac:dyDescent="0.25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25">
        <f>-SUMIF('1.1 FY2016'!$B$5:$B$61,'2.1 Database'!$B62,'1.1 FY2016'!$F$5:$F$61)</f>
        <v>0</v>
      </c>
      <c r="G62" s="25">
        <f>-SUMIF('1.2 FY2017'!$B$5:$B$86,'2.1 Database'!B62,'1.2 FY2017'!$F$5:$F$86)</f>
        <v>420017.14999999997</v>
      </c>
      <c r="H62" s="25">
        <f>-SUMIF('1.3 FY2018'!$B$5:$B$78,'2.1 Database'!$B62,'1.3 FY2018'!$F$5:$F$78)</f>
        <v>0</v>
      </c>
    </row>
    <row r="63" spans="2:8" x14ac:dyDescent="0.25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25">
        <f>-SUMIF('1.1 FY2016'!$B$5:$B$61,'2.1 Database'!$B63,'1.1 FY2016'!$F$5:$F$61)</f>
        <v>0</v>
      </c>
      <c r="G63" s="25">
        <f>-SUMIF('1.2 FY2017'!$B$5:$B$86,'2.1 Database'!B63,'1.2 FY2017'!$F$5:$F$86)</f>
        <v>-14589.33</v>
      </c>
      <c r="H63" s="25">
        <f>-SUMIF('1.3 FY2018'!$B$5:$B$78,'2.1 Database'!$B63,'1.3 FY2018'!$F$5:$F$78)</f>
        <v>-20504.509999999998</v>
      </c>
    </row>
    <row r="64" spans="2:8" x14ac:dyDescent="0.25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25">
        <f>-SUMIF('1.1 FY2016'!$B$5:$B$61,'2.1 Database'!$B64,'1.1 FY2016'!$F$5:$F$61)</f>
        <v>0</v>
      </c>
      <c r="G64" s="25">
        <f>-SUMIF('1.2 FY2017'!$B$5:$B$86,'2.1 Database'!B64,'1.2 FY2017'!$F$5:$F$86)</f>
        <v>-38521</v>
      </c>
      <c r="H64" s="25">
        <f>-SUMIF('1.3 FY2018'!$B$5:$B$78,'2.1 Database'!$B64,'1.3 FY2018'!$F$5:$F$78)</f>
        <v>0</v>
      </c>
    </row>
    <row r="65" spans="2:8" x14ac:dyDescent="0.25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25">
        <f>-SUMIF('1.1 FY2016'!$B$5:$B$61,'2.1 Database'!$B65,'1.1 FY2016'!$F$5:$F$61)</f>
        <v>0</v>
      </c>
      <c r="G65" s="25">
        <f>-SUMIF('1.2 FY2017'!$B$5:$B$86,'2.1 Database'!B65,'1.2 FY2017'!$F$5:$F$86)</f>
        <v>-1820</v>
      </c>
      <c r="H65" s="25">
        <f>-SUMIF('1.3 FY2018'!$B$5:$B$78,'2.1 Database'!$B65,'1.3 FY2018'!$F$5:$F$78)</f>
        <v>0</v>
      </c>
    </row>
    <row r="66" spans="2:8" x14ac:dyDescent="0.25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25">
        <f>-SUMIF('1.1 FY2016'!$B$5:$B$61,'2.1 Database'!$B66,'1.1 FY2016'!$F$5:$F$61)</f>
        <v>0</v>
      </c>
      <c r="G66" s="25">
        <f>-SUMIF('1.2 FY2017'!$B$5:$B$86,'2.1 Database'!B66,'1.2 FY2017'!$F$5:$F$86)</f>
        <v>-10448.129999999999</v>
      </c>
      <c r="H66" s="25">
        <f>-SUMIF('1.3 FY2018'!$B$5:$B$78,'2.1 Database'!$B66,'1.3 FY2018'!$F$5:$F$78)</f>
        <v>-673.34299999999985</v>
      </c>
    </row>
    <row r="67" spans="2:8" x14ac:dyDescent="0.25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25">
        <f>-SUMIF('1.1 FY2016'!$B$5:$B$61,'2.1 Database'!$B67,'1.1 FY2016'!$F$5:$F$61)</f>
        <v>0</v>
      </c>
      <c r="G67" s="25">
        <f>-SUMIF('1.2 FY2017'!$B$5:$B$86,'2.1 Database'!B67,'1.2 FY2017'!$F$5:$F$86)</f>
        <v>-10412.5</v>
      </c>
      <c r="H67" s="25">
        <f>-SUMIF('1.3 FY2018'!$B$5:$B$78,'2.1 Database'!$B67,'1.3 FY2018'!$F$5:$F$78)</f>
        <v>0</v>
      </c>
    </row>
    <row r="68" spans="2:8" x14ac:dyDescent="0.25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25">
        <f>-SUMIF('1.1 FY2016'!$B$5:$B$61,'2.1 Database'!$B68,'1.1 FY2016'!$F$5:$F$61)</f>
        <v>0</v>
      </c>
      <c r="G68" s="25">
        <f>-SUMIF('1.2 FY2017'!$B$5:$B$86,'2.1 Database'!B68,'1.2 FY2017'!$F$5:$F$86)</f>
        <v>-6919.8499999999995</v>
      </c>
      <c r="H68" s="25">
        <f>-SUMIF('1.3 FY2018'!$B$5:$B$78,'2.1 Database'!$B68,'1.3 FY2018'!$F$5:$F$78)</f>
        <v>0</v>
      </c>
    </row>
    <row r="69" spans="2:8" x14ac:dyDescent="0.25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25">
        <f>-SUMIF('1.1 FY2016'!$B$5:$B$61,'2.1 Database'!$B69,'1.1 FY2016'!$F$5:$F$61)</f>
        <v>0</v>
      </c>
      <c r="G69" s="25">
        <f>-SUMIF('1.2 FY2017'!$B$5:$B$86,'2.1 Database'!B69,'1.2 FY2017'!$F$5:$F$86)</f>
        <v>-146328.94499999998</v>
      </c>
      <c r="H69" s="25">
        <f>-SUMIF('1.3 FY2018'!$B$5:$B$78,'2.1 Database'!$B69,'1.3 FY2018'!$F$5:$F$78)</f>
        <v>-12593.355</v>
      </c>
    </row>
    <row r="70" spans="2:8" x14ac:dyDescent="0.25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25">
        <f>-SUMIF('1.1 FY2016'!$B$5:$B$61,'2.1 Database'!$B70,'1.1 FY2016'!$F$5:$F$61)</f>
        <v>0</v>
      </c>
      <c r="G70" s="25">
        <f>-SUMIF('1.2 FY2017'!$B$5:$B$86,'2.1 Database'!B70,'1.2 FY2017'!$F$5:$F$86)</f>
        <v>121553.07499999998</v>
      </c>
      <c r="H70" s="25">
        <f>-SUMIF('1.3 FY2018'!$B$5:$B$78,'2.1 Database'!$B70,'1.3 FY2018'!$F$5:$F$78)</f>
        <v>0</v>
      </c>
    </row>
    <row r="71" spans="2:8" x14ac:dyDescent="0.25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25">
        <f>-SUMIF('1.1 FY2016'!$B$5:$B$61,'2.1 Database'!$B71,'1.1 FY2016'!$F$5:$F$61)</f>
        <v>0</v>
      </c>
      <c r="G71" s="25">
        <f>-SUMIF('1.2 FY2017'!$B$5:$B$86,'2.1 Database'!B71,'1.2 FY2017'!$F$5:$F$86)</f>
        <v>416278.66</v>
      </c>
      <c r="H71" s="25">
        <f>-SUMIF('1.3 FY2018'!$B$5:$B$78,'2.1 Database'!$B71,'1.3 FY2018'!$F$5:$F$78)</f>
        <v>622966.38600000006</v>
      </c>
    </row>
    <row r="72" spans="2:8" x14ac:dyDescent="0.25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25">
        <f>-SUMIF('1.1 FY2016'!$B$5:$B$61,'2.1 Database'!$B72,'1.1 FY2016'!$F$5:$F$61)</f>
        <v>0</v>
      </c>
      <c r="G72" s="25">
        <f>-SUMIF('1.2 FY2017'!$B$5:$B$86,'2.1 Database'!B72,'1.2 FY2017'!$F$5:$F$86)</f>
        <v>364243.84499999997</v>
      </c>
      <c r="H72" s="25">
        <f>-SUMIF('1.3 FY2018'!$B$5:$B$78,'2.1 Database'!$B72,'1.3 FY2018'!$F$5:$F$78)</f>
        <v>0</v>
      </c>
    </row>
    <row r="73" spans="2:8" x14ac:dyDescent="0.25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25">
        <f>-SUMIF('1.1 FY2016'!$B$5:$B$61,'2.1 Database'!$B73,'1.1 FY2016'!$F$5:$F$61)</f>
        <v>0</v>
      </c>
      <c r="G73" s="25">
        <f>-SUMIF('1.2 FY2017'!$B$5:$B$86,'2.1 Database'!B73,'1.2 FY2017'!$F$5:$F$86)</f>
        <v>0</v>
      </c>
      <c r="H73" s="25">
        <f>-SUMIF('1.3 FY2018'!$B$5:$B$78,'2.1 Database'!$B73,'1.3 FY2018'!$F$5:$F$78)</f>
        <v>0</v>
      </c>
    </row>
    <row r="74" spans="2:8" x14ac:dyDescent="0.25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25">
        <f>-SUMIF('1.1 FY2016'!$B$5:$B$61,'2.1 Database'!$B74,'1.1 FY2016'!$F$5:$F$61)</f>
        <v>0</v>
      </c>
      <c r="G74" s="25">
        <f>-SUMIF('1.2 FY2017'!$B$5:$B$86,'2.1 Database'!B74,'1.2 FY2017'!$F$5:$F$86)</f>
        <v>482611.04499999998</v>
      </c>
      <c r="H74" s="25">
        <f>-SUMIF('1.3 FY2018'!$B$5:$B$78,'2.1 Database'!$B74,'1.3 FY2018'!$F$5:$F$78)</f>
        <v>1948832.1429999999</v>
      </c>
    </row>
    <row r="75" spans="2:8" x14ac:dyDescent="0.25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25">
        <f>-SUMIF('1.1 FY2016'!$B$5:$B$61,'2.1 Database'!$B75,'1.1 FY2016'!$F$5:$F$61)</f>
        <v>0</v>
      </c>
      <c r="G75" s="25">
        <f>-SUMIF('1.2 FY2017'!$B$5:$B$86,'2.1 Database'!B75,'1.2 FY2017'!$F$5:$F$86)</f>
        <v>2436.35</v>
      </c>
      <c r="H75" s="25">
        <f>-SUMIF('1.3 FY2018'!$B$5:$B$78,'2.1 Database'!$B75,'1.3 FY2018'!$F$5:$F$78)</f>
        <v>0</v>
      </c>
    </row>
    <row r="76" spans="2:8" x14ac:dyDescent="0.25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25">
        <f>-SUMIF('1.1 FY2016'!$B$5:$B$61,'2.1 Database'!$B76,'1.1 FY2016'!$F$5:$F$61)</f>
        <v>0</v>
      </c>
      <c r="G76" s="25">
        <f>-SUMIF('1.2 FY2017'!$B$5:$B$86,'2.1 Database'!B76,'1.2 FY2017'!$F$5:$F$86)</f>
        <v>-81.339999999999989</v>
      </c>
      <c r="H76" s="25">
        <f>-SUMIF('1.3 FY2018'!$B$5:$B$78,'2.1 Database'!$B76,'1.3 FY2018'!$F$5:$F$78)</f>
        <v>0</v>
      </c>
    </row>
    <row r="77" spans="2:8" x14ac:dyDescent="0.25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25">
        <f>-SUMIF('1.1 FY2016'!$B$5:$B$61,'2.1 Database'!$B77,'1.1 FY2016'!$F$5:$F$61)</f>
        <v>0</v>
      </c>
      <c r="G77" s="25">
        <f>-SUMIF('1.2 FY2017'!$B$5:$B$86,'2.1 Database'!B77,'1.2 FY2017'!$F$5:$F$86)</f>
        <v>-276920</v>
      </c>
      <c r="H77" s="25">
        <f>-SUMIF('1.3 FY2018'!$B$5:$B$78,'2.1 Database'!$B77,'1.3 FY2018'!$F$5:$F$78)</f>
        <v>-473575.46100000001</v>
      </c>
    </row>
    <row r="78" spans="2:8" x14ac:dyDescent="0.25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25">
        <f>-SUMIF('1.1 FY2016'!$B$5:$B$61,'2.1 Database'!$B78,'1.1 FY2016'!$F$5:$F$61)</f>
        <v>0</v>
      </c>
      <c r="G78" s="25">
        <f>-SUMIF('1.2 FY2017'!$B$5:$B$86,'2.1 Database'!B78,'1.2 FY2017'!$F$5:$F$86)</f>
        <v>0</v>
      </c>
      <c r="H78" s="25">
        <f>-SUMIF('1.3 FY2018'!$B$5:$B$78,'2.1 Database'!$B78,'1.3 FY2018'!$F$5:$F$78)</f>
        <v>0</v>
      </c>
    </row>
    <row r="79" spans="2:8" x14ac:dyDescent="0.25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25">
        <f>-SUMIF('1.1 FY2016'!$B$5:$B$61,'2.1 Database'!$B79,'1.1 FY2016'!$F$5:$F$61)</f>
        <v>0</v>
      </c>
      <c r="G79" s="25">
        <f>-SUMIF('1.2 FY2017'!$B$5:$B$86,'2.1 Database'!B79,'1.2 FY2017'!$F$5:$F$86)</f>
        <v>-23928.799999999999</v>
      </c>
      <c r="H79" s="25">
        <f>-SUMIF('1.3 FY2018'!$B$5:$B$78,'2.1 Database'!$B79,'1.3 FY2018'!$F$5:$F$78)</f>
        <v>0</v>
      </c>
    </row>
    <row r="80" spans="2:8" x14ac:dyDescent="0.25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25">
        <f>-SUMIF('1.1 FY2016'!$B$5:$B$61,'2.1 Database'!$B80,'1.1 FY2016'!$F$5:$F$61)</f>
        <v>0</v>
      </c>
      <c r="G80" s="25">
        <f>-SUMIF('1.2 FY2017'!$B$5:$B$86,'2.1 Database'!B80,'1.2 FY2017'!$F$5:$F$86)</f>
        <v>-308232</v>
      </c>
      <c r="H80" s="25">
        <f>-SUMIF('1.3 FY2018'!$B$5:$B$78,'2.1 Database'!$B80,'1.3 FY2018'!$F$5:$F$78)</f>
        <v>0</v>
      </c>
    </row>
    <row r="81" spans="2:8" x14ac:dyDescent="0.25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25">
        <f>-SUMIF('1.1 FY2016'!$B$5:$B$61,'2.1 Database'!$B81,'1.1 FY2016'!$F$5:$F$61)</f>
        <v>0</v>
      </c>
      <c r="G81" s="25">
        <f>-SUMIF('1.2 FY2017'!$B$5:$B$86,'2.1 Database'!B81,'1.2 FY2017'!$F$5:$F$86)</f>
        <v>-13422.779999999999</v>
      </c>
      <c r="H81" s="25">
        <f>-SUMIF('1.3 FY2018'!$B$5:$B$78,'2.1 Database'!$B81,'1.3 FY2018'!$F$5:$F$78)</f>
        <v>0</v>
      </c>
    </row>
    <row r="82" spans="2:8" x14ac:dyDescent="0.25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25">
        <f>-SUMIF('1.1 FY2016'!$B$5:$B$61,'2.1 Database'!$B82,'1.1 FY2016'!$F$5:$F$61)</f>
        <v>0</v>
      </c>
      <c r="G82" s="25">
        <f>-SUMIF('1.2 FY2017'!$B$5:$B$86,'2.1 Database'!B82,'1.2 FY2017'!$F$5:$F$86)</f>
        <v>-4045.6150000000002</v>
      </c>
      <c r="H82" s="25">
        <f>-SUMIF('1.3 FY2018'!$B$5:$B$78,'2.1 Database'!$B82,'1.3 FY2018'!$F$5:$F$78)</f>
        <v>0</v>
      </c>
    </row>
    <row r="83" spans="2:8" x14ac:dyDescent="0.25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25">
        <f>-SUMIF('1.1 FY2016'!$B$5:$B$61,'2.1 Database'!$B83,'1.1 FY2016'!$F$5:$F$61)</f>
        <v>0</v>
      </c>
      <c r="G83" s="25">
        <f>-SUMIF('1.2 FY2017'!$B$5:$B$86,'2.1 Database'!B83,'1.2 FY2017'!$F$5:$F$86)</f>
        <v>-49621.144999999997</v>
      </c>
      <c r="H83" s="25">
        <f>-SUMIF('1.3 FY2018'!$B$5:$B$78,'2.1 Database'!$B83,'1.3 FY2018'!$F$5:$F$78)</f>
        <v>0</v>
      </c>
    </row>
    <row r="84" spans="2:8" x14ac:dyDescent="0.25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25">
        <f>-SUMIF('1.1 FY2016'!$B$5:$B$61,'2.1 Database'!$B84,'1.1 FY2016'!$F$5:$F$61)</f>
        <v>0</v>
      </c>
      <c r="G84" s="25">
        <f>-SUMIF('1.2 FY2017'!$B$5:$B$86,'2.1 Database'!B84,'1.2 FY2017'!$F$5:$F$86)</f>
        <v>-85462.684999999998</v>
      </c>
      <c r="H84" s="25">
        <f>-SUMIF('1.3 FY2018'!$B$5:$B$78,'2.1 Database'!$B84,'1.3 FY2018'!$F$5:$F$78)</f>
        <v>0</v>
      </c>
    </row>
    <row r="85" spans="2:8" x14ac:dyDescent="0.25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25">
        <f>-SUMIF('1.1 FY2016'!$B$5:$B$61,'2.1 Database'!$B85,'1.1 FY2016'!$F$5:$F$61)</f>
        <v>0</v>
      </c>
      <c r="G85" s="25">
        <f>-SUMIF('1.2 FY2017'!$B$5:$B$86,'2.1 Database'!B85,'1.2 FY2017'!$F$5:$F$86)</f>
        <v>-11422.144999999999</v>
      </c>
      <c r="H85" s="25">
        <f>-SUMIF('1.3 FY2018'!$B$5:$B$78,'2.1 Database'!$B85,'1.3 FY2018'!$F$5:$F$78)</f>
        <v>0</v>
      </c>
    </row>
    <row r="86" spans="2:8" x14ac:dyDescent="0.25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25">
        <f>-SUMIF('1.1 FY2016'!$B$5:$B$61,'2.1 Database'!$B86,'1.1 FY2016'!$F$5:$F$61)</f>
        <v>0</v>
      </c>
      <c r="G86" s="25">
        <f>-SUMIF('1.2 FY2017'!$B$5:$B$86,'2.1 Database'!B86,'1.2 FY2017'!$F$5:$F$86)</f>
        <v>-84438.864999999991</v>
      </c>
      <c r="H86" s="25">
        <f>-SUMIF('1.3 FY2018'!$B$5:$B$78,'2.1 Database'!$B86,'1.3 FY2018'!$F$5:$F$78)</f>
        <v>0</v>
      </c>
    </row>
    <row r="87" spans="2:8" x14ac:dyDescent="0.25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25">
        <f>-SUMIF('1.1 FY2016'!$B$5:$B$61,'2.1 Database'!$B87,'1.1 FY2016'!$F$5:$F$61)</f>
        <v>0</v>
      </c>
      <c r="G87" s="25">
        <f>-SUMIF('1.2 FY2017'!$B$5:$B$86,'2.1 Database'!B87,'1.2 FY2017'!$F$5:$F$86)</f>
        <v>0</v>
      </c>
      <c r="H87" s="25">
        <f>-SUMIF('1.3 FY2018'!$B$5:$B$78,'2.1 Database'!$B87,'1.3 FY2018'!$F$5:$F$78)</f>
        <v>0</v>
      </c>
    </row>
    <row r="88" spans="2:8" x14ac:dyDescent="0.25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25">
        <f>-SUMIF('1.1 FY2016'!$B$5:$B$61,'2.1 Database'!$B88,'1.1 FY2016'!$F$5:$F$61)</f>
        <v>0</v>
      </c>
      <c r="G88" s="25">
        <f>-SUMIF('1.2 FY2017'!$B$5:$B$86,'2.1 Database'!B88,'1.2 FY2017'!$F$5:$F$86)</f>
        <v>0</v>
      </c>
      <c r="H88" s="25">
        <f>-SUMIF('1.3 FY2018'!$B$5:$B$78,'2.1 Database'!$B88,'1.3 FY2018'!$F$5:$F$78)</f>
        <v>0</v>
      </c>
    </row>
    <row r="89" spans="2:8" x14ac:dyDescent="0.25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25">
        <f>-SUMIF('1.1 FY2016'!$B$5:$B$61,'2.1 Database'!$B89,'1.1 FY2016'!$F$5:$F$61)</f>
        <v>0</v>
      </c>
      <c r="G89" s="25">
        <f>-SUMIF('1.2 FY2017'!$B$5:$B$86,'2.1 Database'!B89,'1.2 FY2017'!$F$5:$F$86)</f>
        <v>6778.415</v>
      </c>
      <c r="H89" s="25">
        <f>-SUMIF('1.3 FY2018'!$B$5:$B$78,'2.1 Database'!$B89,'1.3 FY2018'!$F$5:$F$78)</f>
        <v>0</v>
      </c>
    </row>
    <row r="90" spans="2:8" x14ac:dyDescent="0.25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25">
        <f>-SUMIF('1.1 FY2016'!$B$5:$B$61,'2.1 Database'!$B90,'1.1 FY2016'!$F$5:$F$61)</f>
        <v>0</v>
      </c>
      <c r="G90" s="25">
        <f>-SUMIF('1.2 FY2017'!$B$5:$B$86,'2.1 Database'!B90,'1.2 FY2017'!$F$5:$F$86)</f>
        <v>0</v>
      </c>
      <c r="H90" s="25">
        <f>-SUMIF('1.3 FY2018'!$B$5:$B$78,'2.1 Database'!$B90,'1.3 FY2018'!$F$5:$F$78)</f>
        <v>0</v>
      </c>
    </row>
    <row r="91" spans="2:8" x14ac:dyDescent="0.25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25">
        <f>-SUMIF('1.1 FY2016'!$B$5:$B$61,'2.1 Database'!$B91,'1.1 FY2016'!$F$5:$F$61)</f>
        <v>0</v>
      </c>
      <c r="G91" s="25">
        <f>-SUMIF('1.2 FY2017'!$B$5:$B$86,'2.1 Database'!B91,'1.2 FY2017'!$F$5:$F$86)</f>
        <v>-1250.7950000000001</v>
      </c>
      <c r="H91" s="25">
        <f>-SUMIF('1.3 FY2018'!$B$5:$B$78,'2.1 Database'!$B91,'1.3 FY2018'!$F$5:$F$78)</f>
        <v>-51.454999999999998</v>
      </c>
    </row>
    <row r="92" spans="2:8" x14ac:dyDescent="0.25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25">
        <f>-SUMIF('1.1 FY2016'!$B$5:$B$61,'2.1 Database'!$B92,'1.1 FY2016'!$F$5:$F$61)</f>
        <v>0</v>
      </c>
      <c r="G92" s="25">
        <f>-SUMIF('1.2 FY2017'!$B$5:$B$86,'2.1 Database'!B92,'1.2 FY2017'!$F$5:$F$86)</f>
        <v>-4130000</v>
      </c>
      <c r="H92" s="25">
        <f>-SUMIF('1.3 FY2018'!$B$5:$B$78,'2.1 Database'!$B92,'1.3 FY2018'!$F$5:$F$78)</f>
        <v>0</v>
      </c>
    </row>
    <row r="93" spans="2:8" x14ac:dyDescent="0.25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25">
        <f>-SUMIF('1.1 FY2016'!$B$5:$B$61,'2.1 Database'!$B93,'1.1 FY2016'!$F$5:$F$61)</f>
        <v>0</v>
      </c>
      <c r="G93" s="25">
        <f>-SUMIF('1.2 FY2017'!$B$5:$B$86,'2.1 Database'!B93,'1.2 FY2017'!$F$5:$F$86)</f>
        <v>0</v>
      </c>
      <c r="H93" s="25">
        <f>-SUMIF('1.3 FY2018'!$B$5:$B$78,'2.1 Database'!$B93,'1.3 FY2018'!$F$5:$F$78)</f>
        <v>0</v>
      </c>
    </row>
    <row r="94" spans="2:8" x14ac:dyDescent="0.25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25">
        <f>SUMIF('1.1 FY2016'!$B$5:$B$61,'2.1 Database'!$B94,'1.1 FY2016'!$F$5:$F$61)</f>
        <v>0</v>
      </c>
      <c r="G94" s="25">
        <f>SUMIF('1.2 FY2017'!$B$5:$B$86,'2.1 Database'!B94,'1.2 FY2017'!$F$5:$F$86)</f>
        <v>6073808.1600000001</v>
      </c>
      <c r="H94" s="25">
        <f>SUMIF('1.3 FY2018'!$B$5:$B$78,'2.1 Database'!$B94,'1.3 FY2018'!$F$5:$F$78)</f>
        <v>-779290.47600000002</v>
      </c>
    </row>
    <row r="95" spans="2:8" x14ac:dyDescent="0.25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25">
        <f>-SUMIF('1.1 FY2016'!$B$5:$B$61,'2.1 Database'!$B95,'1.1 FY2016'!$F$5:$F$61)</f>
        <v>0</v>
      </c>
      <c r="G95" s="25">
        <f>-SUMIF('1.2 FY2017'!$B$5:$B$86,'2.1 Database'!B95,'1.2 FY2017'!$F$5:$F$86)</f>
        <v>0</v>
      </c>
      <c r="H95" s="25">
        <f>-SUMIF('1.3 FY2018'!$B$5:$B$78,'2.1 Database'!$B95,'1.3 FY2018'!$F$5:$F$78)</f>
        <v>-13691.949999999999</v>
      </c>
    </row>
    <row r="96" spans="2:8" x14ac:dyDescent="0.25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25">
        <f>-SUMIF('1.1 FY2016'!$B$5:$B$61,'2.1 Database'!$B96,'1.1 FY2016'!$F$5:$F$61)</f>
        <v>0</v>
      </c>
      <c r="G96" s="25">
        <f>-SUMIF('1.2 FY2017'!$B$5:$B$86,'2.1 Database'!B96,'1.2 FY2017'!$F$5:$F$86)</f>
        <v>0</v>
      </c>
      <c r="H96" s="25">
        <f>-SUMIF('1.3 FY2018'!$B$5:$B$78,'2.1 Database'!$B96,'1.3 FY2018'!$F$5:$F$78)</f>
        <v>-192017.14499999996</v>
      </c>
    </row>
    <row r="97" spans="2:8" x14ac:dyDescent="0.25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25">
        <f>-SUMIF('1.1 FY2016'!$B$5:$B$61,'2.1 Database'!$B97,'1.1 FY2016'!$F$5:$F$61)</f>
        <v>0</v>
      </c>
      <c r="G97" s="25">
        <f>-SUMIF('1.2 FY2017'!$B$5:$B$86,'2.1 Database'!B97,'1.2 FY2017'!$F$5:$F$86)</f>
        <v>0</v>
      </c>
      <c r="H97" s="25">
        <f>-SUMIF('1.3 FY2018'!$B$5:$B$78,'2.1 Database'!$B97,'1.3 FY2018'!$F$5:$F$78)</f>
        <v>-375290.46599999996</v>
      </c>
    </row>
    <row r="98" spans="2:8" x14ac:dyDescent="0.25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25">
        <f>-SUMIF('1.1 FY2016'!$B$5:$B$61,'2.1 Database'!$B98,'1.1 FY2016'!$F$5:$F$61)</f>
        <v>0</v>
      </c>
      <c r="G98" s="25">
        <f>-SUMIF('1.2 FY2017'!$B$5:$B$86,'2.1 Database'!B98,'1.2 FY2017'!$F$5:$F$86)</f>
        <v>0</v>
      </c>
      <c r="H98" s="25">
        <f>-SUMIF('1.3 FY2018'!$B$5:$B$78,'2.1 Database'!$B98,'1.3 FY2018'!$F$5:$F$78)</f>
        <v>-4920</v>
      </c>
    </row>
    <row r="99" spans="2:8" x14ac:dyDescent="0.25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25">
        <f>-SUMIF('1.1 FY2016'!$B$5:$B$61,'2.1 Database'!$B99,'1.1 FY2016'!$F$5:$F$61)</f>
        <v>0</v>
      </c>
      <c r="G99" s="25">
        <f>-SUMIF('1.2 FY2017'!$B$5:$B$86,'2.1 Database'!B99,'1.2 FY2017'!$F$5:$F$86)</f>
        <v>0</v>
      </c>
      <c r="H99" s="25">
        <f>-SUMIF('1.3 FY2018'!$B$5:$B$78,'2.1 Database'!$B99,'1.3 FY2018'!$F$5:$F$78)</f>
        <v>0</v>
      </c>
    </row>
    <row r="100" spans="2:8" x14ac:dyDescent="0.25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25">
        <f>-SUMIF('1.1 FY2016'!$B$5:$B$61,'2.1 Database'!$B100,'1.1 FY2016'!$F$5:$F$61)</f>
        <v>0</v>
      </c>
      <c r="G100" s="25">
        <f>-SUMIF('1.2 FY2017'!$B$5:$B$86,'2.1 Database'!B100,'1.2 FY2017'!$F$5:$F$86)</f>
        <v>0</v>
      </c>
      <c r="H100" s="25">
        <f>-SUMIF('1.3 FY2018'!$B$5:$B$78,'2.1 Database'!$B100,'1.3 FY2018'!$F$5:$F$78)</f>
        <v>1252.8369999999998</v>
      </c>
    </row>
    <row r="101" spans="2:8" x14ac:dyDescent="0.25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25">
        <f>-SUMIF('1.1 FY2016'!$B$5:$B$61,'2.1 Database'!$B101,'1.1 FY2016'!$F$5:$F$61)</f>
        <v>0</v>
      </c>
      <c r="G101" s="25">
        <f>-SUMIF('1.2 FY2017'!$B$5:$B$86,'2.1 Database'!B101,'1.2 FY2017'!$F$5:$F$86)</f>
        <v>0</v>
      </c>
      <c r="H101" s="25">
        <f>-SUMIF('1.3 FY2018'!$B$5:$B$78,'2.1 Database'!$B101,'1.3 FY2018'!$F$5:$F$78)</f>
        <v>0</v>
      </c>
    </row>
    <row r="102" spans="2:8" x14ac:dyDescent="0.25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25">
        <f>-SUMIF('1.1 FY2016'!$B$5:$B$61,'2.1 Database'!$B102,'1.1 FY2016'!$F$5:$F$61)</f>
        <v>0</v>
      </c>
      <c r="G102" s="25">
        <f>-SUMIF('1.2 FY2017'!$B$5:$B$86,'2.1 Database'!B102,'1.2 FY2017'!$F$5:$F$86)</f>
        <v>0</v>
      </c>
      <c r="H102" s="25">
        <f>-SUMIF('1.3 FY2018'!$B$5:$B$78,'2.1 Database'!$B102,'1.3 FY2018'!$F$5:$F$78)</f>
        <v>61499.999999999993</v>
      </c>
    </row>
    <row r="103" spans="2:8" x14ac:dyDescent="0.25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25">
        <f>-SUMIF('1.1 FY2016'!$B$5:$B$61,'2.1 Database'!$B103,'1.1 FY2016'!$F$5:$F$61)</f>
        <v>0</v>
      </c>
      <c r="G103" s="25">
        <f>-SUMIF('1.2 FY2017'!$B$5:$B$86,'2.1 Database'!B103,'1.2 FY2017'!$F$5:$F$86)</f>
        <v>0</v>
      </c>
      <c r="H103" s="25">
        <f>-SUMIF('1.3 FY2018'!$B$5:$B$78,'2.1 Database'!$B103,'1.3 FY2018'!$F$5:$F$78)</f>
        <v>30913.425999999996</v>
      </c>
    </row>
    <row r="104" spans="2:8" x14ac:dyDescent="0.25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25">
        <f>-SUMIF('1.1 FY2016'!$B$5:$B$61,'2.1 Database'!$B104,'1.1 FY2016'!$F$5:$F$61)</f>
        <v>0</v>
      </c>
      <c r="G104" s="25">
        <f>-SUMIF('1.2 FY2017'!$B$5:$B$86,'2.1 Database'!B104,'1.2 FY2017'!$F$5:$F$86)</f>
        <v>0</v>
      </c>
      <c r="H104" s="25">
        <f>-SUMIF('1.3 FY2018'!$B$5:$B$78,'2.1 Database'!$B104,'1.3 FY2018'!$F$5:$F$78)</f>
        <v>1423120</v>
      </c>
    </row>
    <row r="105" spans="2:8" x14ac:dyDescent="0.25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25">
        <f>-SUMIF('1.1 FY2016'!$B$5:$B$61,'2.1 Database'!$B105,'1.1 FY2016'!$F$5:$F$61)</f>
        <v>0</v>
      </c>
      <c r="G105" s="25">
        <f>-SUMIF('1.2 FY2017'!$B$5:$B$86,'2.1 Database'!B105,'1.2 FY2017'!$F$5:$F$86)</f>
        <v>0</v>
      </c>
      <c r="H105" s="25">
        <f>-SUMIF('1.3 FY2018'!$B$5:$B$78,'2.1 Database'!$B105,'1.3 FY2018'!$F$5:$F$78)</f>
        <v>-584.66</v>
      </c>
    </row>
    <row r="106" spans="2:8" x14ac:dyDescent="0.25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25">
        <f>-SUMIF('1.1 FY2016'!$B$5:$B$61,'2.1 Database'!$B106,'1.1 FY2016'!$F$5:$F$61)</f>
        <v>0</v>
      </c>
      <c r="G106" s="25">
        <f>-SUMIF('1.2 FY2017'!$B$5:$B$86,'2.1 Database'!B106,'1.2 FY2017'!$F$5:$F$86)</f>
        <v>0</v>
      </c>
      <c r="H106" s="25">
        <f>-SUMIF('1.3 FY2018'!$B$5:$B$78,'2.1 Database'!$B106,'1.3 FY2018'!$F$5:$F$78)</f>
        <v>-1352.9999999999998</v>
      </c>
    </row>
    <row r="107" spans="2:8" x14ac:dyDescent="0.25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25">
        <f>-SUMIF('1.1 FY2016'!$B$5:$B$61,'2.1 Database'!$B107,'1.1 FY2016'!$F$5:$F$61)</f>
        <v>0</v>
      </c>
      <c r="G107" s="25">
        <f>-SUMIF('1.2 FY2017'!$B$5:$B$86,'2.1 Database'!B107,'1.2 FY2017'!$F$5:$F$86)</f>
        <v>0</v>
      </c>
      <c r="H107" s="25">
        <f>-SUMIF('1.3 FY2018'!$B$5:$B$78,'2.1 Database'!$B107,'1.3 FY2018'!$F$5:$F$78)</f>
        <v>0</v>
      </c>
    </row>
    <row r="108" spans="2:8" x14ac:dyDescent="0.25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25">
        <f>-SUMIF('1.1 FY2016'!$B$5:$B$61,'2.1 Database'!$B108,'1.1 FY2016'!$F$5:$F$61)</f>
        <v>0</v>
      </c>
      <c r="G108" s="25">
        <f>-SUMIF('1.2 FY2017'!$B$5:$B$86,'2.1 Database'!B108,'1.2 FY2017'!$F$5:$F$86)</f>
        <v>0</v>
      </c>
      <c r="H108" s="25">
        <f>-SUMIF('1.3 FY2018'!$B$5:$B$78,'2.1 Database'!$B108,'1.3 FY2018'!$F$5:$F$78)</f>
        <v>0</v>
      </c>
    </row>
    <row r="109" spans="2:8" ht="14.5" x14ac:dyDescent="0.35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8" ht="14.5" x14ac:dyDescent="0.35">
      <c r="B110"/>
    </row>
    <row r="111" spans="2:8" ht="14.5" x14ac:dyDescent="0.35">
      <c r="B111"/>
    </row>
    <row r="112" spans="2:8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</sheetData>
  <autoFilter ref="B3:H109" xr:uid="{00000000-0001-0000-0700-000000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2025-12-28T12:11:47Z</dcterms:modified>
</cp:coreProperties>
</file>