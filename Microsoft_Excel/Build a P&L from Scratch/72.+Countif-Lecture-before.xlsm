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22E68647-3C60-695B-3CA0-4895CD717B8A}"/>
  <workbookPr filterPrivacy="1" codeName="ThisWorkbook" defaultThemeVersion="124226"/>
  <xr:revisionPtr revIDLastSave="0" documentId="13_ncr:1_{46832E48-B181-4963-A422-BA4C7ED9C1EC}" xr6:coauthVersionLast="47" xr6:coauthVersionMax="47" xr10:uidLastSave="{00000000-0000-0000-0000-000000000000}"/>
  <bookViews>
    <workbookView xWindow="-110" yWindow="-110" windowWidth="19420" windowHeight="11020" firstSheet="6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4" i="10"/>
  <c r="H94" i="10"/>
  <c r="G94" i="10"/>
  <c r="F94" i="10"/>
  <c r="H60" i="10"/>
  <c r="E27" i="21" s="1"/>
  <c r="G60" i="10"/>
  <c r="D27" i="21" s="1"/>
  <c r="F60" i="10"/>
  <c r="C27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E15" i="21" l="1"/>
  <c r="E12" i="21"/>
  <c r="C21" i="21"/>
  <c r="E20" i="21"/>
  <c r="E23" i="21"/>
  <c r="D12" i="21"/>
  <c r="D23" i="21"/>
  <c r="E18" i="21"/>
  <c r="E13" i="21"/>
  <c r="C18" i="21"/>
  <c r="C13" i="21"/>
  <c r="D15" i="21"/>
  <c r="E21" i="21"/>
  <c r="C16" i="21"/>
  <c r="C11" i="21"/>
  <c r="D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D17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28" i="21" s="1"/>
  <c r="E17" i="21"/>
  <c r="E19" i="21" s="1"/>
  <c r="E22" i="21"/>
  <c r="E24" i="21" s="1"/>
  <c r="E28" i="21" s="1"/>
  <c r="D19" i="21"/>
  <c r="D22" i="21" s="1"/>
  <c r="D24" i="21" s="1"/>
  <c r="D28" i="21" s="1"/>
</calcChain>
</file>

<file path=xl/sharedStrings.xml><?xml version="1.0" encoding="utf-8"?>
<sst xmlns="http://schemas.openxmlformats.org/spreadsheetml/2006/main" count="956" uniqueCount="247">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</sst>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filterMode="1"/>
  <dimension ref="B1:L215"/>
  <sheetViews>
    <sheetView tabSelected="1" workbookViewId="0">
      <selection activeCell="N93" sqref="N93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customWidth="1"/>
    <col min="6" max="8" width="9.90625" style="2" bestFit="1" customWidth="1"/>
    <col min="9" max="9" width="2" style="2" customWidth="1"/>
    <col min="10" max="16384" width="9.08984375" style="2"/>
  </cols>
  <sheetData>
    <row r="1" spans="2:12" ht="15.5" x14ac:dyDescent="0.35">
      <c r="B1" s="3" t="s">
        <v>56</v>
      </c>
    </row>
    <row r="3" spans="2:12" ht="12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2" hidden="1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  <c r="L4" s="2">
        <f>COUNTIF('2.2 P&amp;L statement'!$B$4:$B$23,'2.1 Database'!J4)</f>
        <v>1</v>
      </c>
    </row>
    <row r="5" spans="2:12" hidden="1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  <c r="L5" s="2">
        <f>COUNTIF('2.2 P&amp;L statement'!$B$4:$B$23,'2.1 Database'!J5)</f>
        <v>1</v>
      </c>
    </row>
    <row r="6" spans="2:12" hidden="1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  <c r="L6" s="2">
        <f>COUNTIF('2.2 P&amp;L statement'!$B$4:$B$23,'2.1 Database'!J6)</f>
        <v>1</v>
      </c>
    </row>
    <row r="7" spans="2:12" hidden="1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  <c r="L7" s="2">
        <f>COUNTIF('2.2 P&amp;L statement'!$B$4:$B$23,'2.1 Database'!J7)</f>
        <v>1</v>
      </c>
    </row>
    <row r="8" spans="2:12" hidden="1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  <c r="L8" s="2">
        <f>COUNTIF('2.2 P&amp;L statement'!$B$4:$B$23,'2.1 Database'!J8)</f>
        <v>1</v>
      </c>
    </row>
    <row r="9" spans="2:12" hidden="1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  <c r="L9" s="2">
        <f>COUNTIF('2.2 P&amp;L statement'!$B$4:$B$23,'2.1 Database'!J9)</f>
        <v>1</v>
      </c>
    </row>
    <row r="10" spans="2:12" hidden="1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  <c r="L10" s="2">
        <f>COUNTIF('2.2 P&amp;L statement'!$B$4:$B$23,'2.1 Database'!J10)</f>
        <v>1</v>
      </c>
    </row>
    <row r="11" spans="2:12" hidden="1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  <c r="L11" s="2">
        <f>COUNTIF('2.2 P&amp;L statement'!$B$4:$B$23,'2.1 Database'!J11)</f>
        <v>1</v>
      </c>
    </row>
    <row r="12" spans="2:12" hidden="1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  <c r="L12" s="2">
        <f>COUNTIF('2.2 P&amp;L statement'!$B$4:$B$23,'2.1 Database'!J12)</f>
        <v>1</v>
      </c>
    </row>
    <row r="13" spans="2:12" hidden="1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  <c r="L13" s="2">
        <f>COUNTIF('2.2 P&amp;L statement'!$B$4:$B$23,'2.1 Database'!J13)</f>
        <v>1</v>
      </c>
    </row>
    <row r="14" spans="2:12" hidden="1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  <c r="L14" s="2">
        <f>COUNTIF('2.2 P&amp;L statement'!$B$4:$B$23,'2.1 Database'!J14)</f>
        <v>1</v>
      </c>
    </row>
    <row r="15" spans="2:12" hidden="1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  <c r="L15" s="2">
        <f>COUNTIF('2.2 P&amp;L statement'!$B$4:$B$23,'2.1 Database'!J15)</f>
        <v>1</v>
      </c>
    </row>
    <row r="16" spans="2:12" hidden="1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  <c r="L16" s="2">
        <f>COUNTIF('2.2 P&amp;L statement'!$B$4:$B$23,'2.1 Database'!J16)</f>
        <v>1</v>
      </c>
    </row>
    <row r="17" spans="2:12" hidden="1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  <c r="L17" s="2">
        <f>COUNTIF('2.2 P&amp;L statement'!$B$4:$B$23,'2.1 Database'!J17)</f>
        <v>1</v>
      </c>
    </row>
    <row r="18" spans="2:12" hidden="1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  <c r="L18" s="2">
        <f>COUNTIF('2.2 P&amp;L statement'!$B$4:$B$23,'2.1 Database'!J18)</f>
        <v>1</v>
      </c>
    </row>
    <row r="19" spans="2:12" hidden="1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  <c r="L19" s="2">
        <f>COUNTIF('2.2 P&amp;L statement'!$B$4:$B$23,'2.1 Database'!J19)</f>
        <v>1</v>
      </c>
    </row>
    <row r="20" spans="2:12" hidden="1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  <c r="L20" s="2">
        <f>COUNTIF('2.2 P&amp;L statement'!$B$4:$B$23,'2.1 Database'!J20)</f>
        <v>1</v>
      </c>
    </row>
    <row r="21" spans="2:12" hidden="1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  <c r="L21" s="2">
        <f>COUNTIF('2.2 P&amp;L statement'!$B$4:$B$23,'2.1 Database'!J21)</f>
        <v>1</v>
      </c>
    </row>
    <row r="22" spans="2:12" hidden="1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  <c r="L22" s="2">
        <f>COUNTIF('2.2 P&amp;L statement'!$B$4:$B$23,'2.1 Database'!J22)</f>
        <v>1</v>
      </c>
    </row>
    <row r="23" spans="2:12" hidden="1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  <c r="L23" s="2">
        <f>COUNTIF('2.2 P&amp;L statement'!$B$4:$B$23,'2.1 Database'!J23)</f>
        <v>1</v>
      </c>
    </row>
    <row r="24" spans="2:12" hidden="1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  <c r="L24" s="2">
        <f>COUNTIF('2.2 P&amp;L statement'!$B$4:$B$23,'2.1 Database'!J24)</f>
        <v>1</v>
      </c>
    </row>
    <row r="25" spans="2:12" hidden="1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  <c r="L25" s="2">
        <f>COUNTIF('2.2 P&amp;L statement'!$B$4:$B$23,'2.1 Database'!J25)</f>
        <v>1</v>
      </c>
    </row>
    <row r="26" spans="2:12" hidden="1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  <c r="L26" s="2">
        <f>COUNTIF('2.2 P&amp;L statement'!$B$4:$B$23,'2.1 Database'!J26)</f>
        <v>1</v>
      </c>
    </row>
    <row r="27" spans="2:12" hidden="1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  <c r="L27" s="2">
        <f>COUNTIF('2.2 P&amp;L statement'!$B$4:$B$23,'2.1 Database'!J27)</f>
        <v>1</v>
      </c>
    </row>
    <row r="28" spans="2:12" hidden="1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  <c r="L28" s="2">
        <f>COUNTIF('2.2 P&amp;L statement'!$B$4:$B$23,'2.1 Database'!J28)</f>
        <v>1</v>
      </c>
    </row>
    <row r="29" spans="2:12" hidden="1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  <c r="L29" s="2">
        <f>COUNTIF('2.2 P&amp;L statement'!$B$4:$B$23,'2.1 Database'!J29)</f>
        <v>1</v>
      </c>
    </row>
    <row r="30" spans="2:12" hidden="1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  <c r="L30" s="2">
        <f>COUNTIF('2.2 P&amp;L statement'!$B$4:$B$23,'2.1 Database'!J30)</f>
        <v>1</v>
      </c>
    </row>
    <row r="31" spans="2:12" hidden="1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  <c r="L31" s="2">
        <f>COUNTIF('2.2 P&amp;L statement'!$B$4:$B$23,'2.1 Database'!J31)</f>
        <v>1</v>
      </c>
    </row>
    <row r="32" spans="2:12" hidden="1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  <c r="L32" s="2">
        <f>COUNTIF('2.2 P&amp;L statement'!$B$4:$B$23,'2.1 Database'!J32)</f>
        <v>1</v>
      </c>
    </row>
    <row r="33" spans="2:12" hidden="1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  <c r="L33" s="2">
        <f>COUNTIF('2.2 P&amp;L statement'!$B$4:$B$23,'2.1 Database'!J33)</f>
        <v>1</v>
      </c>
    </row>
    <row r="34" spans="2:12" hidden="1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  <c r="L34" s="2">
        <f>COUNTIF('2.2 P&amp;L statement'!$B$4:$B$23,'2.1 Database'!J34)</f>
        <v>1</v>
      </c>
    </row>
    <row r="35" spans="2:12" hidden="1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  <c r="L35" s="2">
        <f>COUNTIF('2.2 P&amp;L statement'!$B$4:$B$23,'2.1 Database'!J35)</f>
        <v>1</v>
      </c>
    </row>
    <row r="36" spans="2:12" hidden="1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  <c r="L36" s="2">
        <f>COUNTIF('2.2 P&amp;L statement'!$B$4:$B$23,'2.1 Database'!J36)</f>
        <v>1</v>
      </c>
    </row>
    <row r="37" spans="2:12" hidden="1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  <c r="L37" s="2">
        <f>COUNTIF('2.2 P&amp;L statement'!$B$4:$B$23,'2.1 Database'!J37)</f>
        <v>1</v>
      </c>
    </row>
    <row r="38" spans="2:12" hidden="1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  <c r="L38" s="2">
        <f>COUNTIF('2.2 P&amp;L statement'!$B$4:$B$23,'2.1 Database'!J38)</f>
        <v>1</v>
      </c>
    </row>
    <row r="39" spans="2:12" hidden="1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  <c r="L39" s="2">
        <f>COUNTIF('2.2 P&amp;L statement'!$B$4:$B$23,'2.1 Database'!J39)</f>
        <v>1</v>
      </c>
    </row>
    <row r="40" spans="2:12" hidden="1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  <c r="L40" s="2">
        <f>COUNTIF('2.2 P&amp;L statement'!$B$4:$B$23,'2.1 Database'!J40)</f>
        <v>1</v>
      </c>
    </row>
    <row r="41" spans="2:12" hidden="1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  <c r="L41" s="2">
        <f>COUNTIF('2.2 P&amp;L statement'!$B$4:$B$23,'2.1 Database'!J41)</f>
        <v>1</v>
      </c>
    </row>
    <row r="42" spans="2:12" hidden="1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  <c r="L42" s="2">
        <f>COUNTIF('2.2 P&amp;L statement'!$B$4:$B$23,'2.1 Database'!J42)</f>
        <v>1</v>
      </c>
    </row>
    <row r="43" spans="2:12" hidden="1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  <c r="L43" s="2">
        <f>COUNTIF('2.2 P&amp;L statement'!$B$4:$B$23,'2.1 Database'!J43)</f>
        <v>1</v>
      </c>
    </row>
    <row r="44" spans="2:12" hidden="1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  <c r="L44" s="2">
        <f>COUNTIF('2.2 P&amp;L statement'!$B$4:$B$23,'2.1 Database'!J44)</f>
        <v>1</v>
      </c>
    </row>
    <row r="45" spans="2:12" hidden="1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  <c r="L45" s="2">
        <f>COUNTIF('2.2 P&amp;L statement'!$B$4:$B$23,'2.1 Database'!J45)</f>
        <v>1</v>
      </c>
    </row>
    <row r="46" spans="2:12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  <c r="L46" s="2">
        <f>COUNTIF('2.2 P&amp;L statement'!$B$4:$B$23,'2.1 Database'!J46)</f>
        <v>0</v>
      </c>
    </row>
    <row r="47" spans="2:12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  <c r="L47" s="2">
        <f>COUNTIF('2.2 P&amp;L statement'!$B$4:$B$23,'2.1 Database'!J47)</f>
        <v>0</v>
      </c>
    </row>
    <row r="48" spans="2:12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  <c r="L48" s="2">
        <f>COUNTIF('2.2 P&amp;L statement'!$B$4:$B$23,'2.1 Database'!J48)</f>
        <v>0</v>
      </c>
    </row>
    <row r="49" spans="2:12" hidden="1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  <c r="L49" s="2">
        <f>COUNTIF('2.2 P&amp;L statement'!$B$4:$B$23,'2.1 Database'!J49)</f>
        <v>1</v>
      </c>
    </row>
    <row r="50" spans="2:12" hidden="1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  <c r="L50" s="2">
        <f>COUNTIF('2.2 P&amp;L statement'!$B$4:$B$23,'2.1 Database'!J50)</f>
        <v>1</v>
      </c>
    </row>
    <row r="51" spans="2:12" hidden="1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  <c r="L51" s="2">
        <f>COUNTIF('2.2 P&amp;L statement'!$B$4:$B$23,'2.1 Database'!J51)</f>
        <v>1</v>
      </c>
    </row>
    <row r="52" spans="2:12" hidden="1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  <c r="L52" s="2">
        <f>COUNTIF('2.2 P&amp;L statement'!$B$4:$B$23,'2.1 Database'!J52)</f>
        <v>1</v>
      </c>
    </row>
    <row r="53" spans="2:12" hidden="1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  <c r="L53" s="2">
        <f>COUNTIF('2.2 P&amp;L statement'!$B$4:$B$23,'2.1 Database'!J53)</f>
        <v>1</v>
      </c>
    </row>
    <row r="54" spans="2:12" hidden="1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  <c r="L54" s="2">
        <f>COUNTIF('2.2 P&amp;L statement'!$B$4:$B$23,'2.1 Database'!J54)</f>
        <v>1</v>
      </c>
    </row>
    <row r="55" spans="2:12" hidden="1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  <c r="L55" s="2">
        <f>COUNTIF('2.2 P&amp;L statement'!$B$4:$B$23,'2.1 Database'!J55)</f>
        <v>1</v>
      </c>
    </row>
    <row r="56" spans="2:12" hidden="1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  <c r="L56" s="2">
        <f>COUNTIF('2.2 P&amp;L statement'!$B$4:$B$23,'2.1 Database'!J56)</f>
        <v>1</v>
      </c>
    </row>
    <row r="57" spans="2:12" hidden="1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  <c r="L57" s="2">
        <f>COUNTIF('2.2 P&amp;L statement'!$B$4:$B$23,'2.1 Database'!J57)</f>
        <v>1</v>
      </c>
    </row>
    <row r="58" spans="2:12" hidden="1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  <c r="L58" s="2">
        <f>COUNTIF('2.2 P&amp;L statement'!$B$4:$B$23,'2.1 Database'!J58)</f>
        <v>1</v>
      </c>
    </row>
    <row r="59" spans="2:12" hidden="1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  <c r="L59" s="2">
        <f>COUNTIF('2.2 P&amp;L statement'!$B$4:$B$23,'2.1 Database'!J59)</f>
        <v>1</v>
      </c>
    </row>
    <row r="60" spans="2:12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  <c r="L60" s="2">
        <f>COUNTIF('2.2 P&amp;L statement'!$B$4:$B$23,'2.1 Database'!J60)</f>
        <v>0</v>
      </c>
    </row>
    <row r="61" spans="2:12" hidden="1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  <c r="L61" s="2">
        <f>COUNTIF('2.2 P&amp;L statement'!$B$4:$B$23,'2.1 Database'!J61)</f>
        <v>1</v>
      </c>
    </row>
    <row r="62" spans="2:12" hidden="1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  <c r="L62" s="2">
        <f>COUNTIF('2.2 P&amp;L statement'!$B$4:$B$23,'2.1 Database'!J62)</f>
        <v>1</v>
      </c>
    </row>
    <row r="63" spans="2:12" hidden="1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  <c r="L63" s="2">
        <f>COUNTIF('2.2 P&amp;L statement'!$B$4:$B$23,'2.1 Database'!J63)</f>
        <v>1</v>
      </c>
    </row>
    <row r="64" spans="2:12" hidden="1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  <c r="L64" s="2">
        <f>COUNTIF('2.2 P&amp;L statement'!$B$4:$B$23,'2.1 Database'!J64)</f>
        <v>1</v>
      </c>
    </row>
    <row r="65" spans="2:12" hidden="1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  <c r="L65" s="2">
        <f>COUNTIF('2.2 P&amp;L statement'!$B$4:$B$23,'2.1 Database'!J65)</f>
        <v>1</v>
      </c>
    </row>
    <row r="66" spans="2:12" hidden="1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  <c r="L66" s="2">
        <f>COUNTIF('2.2 P&amp;L statement'!$B$4:$B$23,'2.1 Database'!J66)</f>
        <v>1</v>
      </c>
    </row>
    <row r="67" spans="2:12" hidden="1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  <c r="L67" s="2">
        <f>COUNTIF('2.2 P&amp;L statement'!$B$4:$B$23,'2.1 Database'!J67)</f>
        <v>1</v>
      </c>
    </row>
    <row r="68" spans="2:12" hidden="1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  <c r="L68" s="2">
        <f>COUNTIF('2.2 P&amp;L statement'!$B$4:$B$23,'2.1 Database'!J68)</f>
        <v>1</v>
      </c>
    </row>
    <row r="69" spans="2:12" hidden="1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  <c r="L69" s="2">
        <f>COUNTIF('2.2 P&amp;L statement'!$B$4:$B$23,'2.1 Database'!J69)</f>
        <v>1</v>
      </c>
    </row>
    <row r="70" spans="2:12" hidden="1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  <c r="L70" s="2">
        <f>COUNTIF('2.2 P&amp;L statement'!$B$4:$B$23,'2.1 Database'!J70)</f>
        <v>1</v>
      </c>
    </row>
    <row r="71" spans="2:12" hidden="1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  <c r="L71" s="2">
        <f>COUNTIF('2.2 P&amp;L statement'!$B$4:$B$23,'2.1 Database'!J71)</f>
        <v>1</v>
      </c>
    </row>
    <row r="72" spans="2:12" hidden="1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  <c r="L72" s="2">
        <f>COUNTIF('2.2 P&amp;L statement'!$B$4:$B$23,'2.1 Database'!J72)</f>
        <v>1</v>
      </c>
    </row>
    <row r="73" spans="2:12" hidden="1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  <c r="L73" s="2">
        <f>COUNTIF('2.2 P&amp;L statement'!$B$4:$B$23,'2.1 Database'!J73)</f>
        <v>1</v>
      </c>
    </row>
    <row r="74" spans="2:12" hidden="1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  <c r="L74" s="2">
        <f>COUNTIF('2.2 P&amp;L statement'!$B$4:$B$23,'2.1 Database'!J74)</f>
        <v>1</v>
      </c>
    </row>
    <row r="75" spans="2:12" hidden="1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  <c r="L75" s="2">
        <f>COUNTIF('2.2 P&amp;L statement'!$B$4:$B$23,'2.1 Database'!J75)</f>
        <v>1</v>
      </c>
    </row>
    <row r="76" spans="2:12" hidden="1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  <c r="L76" s="2">
        <f>COUNTIF('2.2 P&amp;L statement'!$B$4:$B$23,'2.1 Database'!J76)</f>
        <v>1</v>
      </c>
    </row>
    <row r="77" spans="2:12" hidden="1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  <c r="L77" s="2">
        <f>COUNTIF('2.2 P&amp;L statement'!$B$4:$B$23,'2.1 Database'!J77)</f>
        <v>1</v>
      </c>
    </row>
    <row r="78" spans="2:12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  <c r="L78" s="2">
        <f>COUNTIF('2.2 P&amp;L statement'!$B$4:$B$23,'2.1 Database'!J78)</f>
        <v>0</v>
      </c>
    </row>
    <row r="79" spans="2:12" hidden="1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  <c r="L79" s="2">
        <f>COUNTIF('2.2 P&amp;L statement'!$B$4:$B$23,'2.1 Database'!J79)</f>
        <v>1</v>
      </c>
    </row>
    <row r="80" spans="2:12" hidden="1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  <c r="L80" s="2">
        <f>COUNTIF('2.2 P&amp;L statement'!$B$4:$B$23,'2.1 Database'!J80)</f>
        <v>1</v>
      </c>
    </row>
    <row r="81" spans="2:12" hidden="1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  <c r="L81" s="2">
        <f>COUNTIF('2.2 P&amp;L statement'!$B$4:$B$23,'2.1 Database'!J81)</f>
        <v>1</v>
      </c>
    </row>
    <row r="82" spans="2:12" hidden="1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  <c r="L82" s="2">
        <f>COUNTIF('2.2 P&amp;L statement'!$B$4:$B$23,'2.1 Database'!J82)</f>
        <v>1</v>
      </c>
    </row>
    <row r="83" spans="2:12" hidden="1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  <c r="L83" s="2">
        <f>COUNTIF('2.2 P&amp;L statement'!$B$4:$B$23,'2.1 Database'!J83)</f>
        <v>1</v>
      </c>
    </row>
    <row r="84" spans="2:12" hidden="1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  <c r="L84" s="2">
        <f>COUNTIF('2.2 P&amp;L statement'!$B$4:$B$23,'2.1 Database'!J84)</f>
        <v>1</v>
      </c>
    </row>
    <row r="85" spans="2:12" hidden="1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  <c r="L85" s="2">
        <f>COUNTIF('2.2 P&amp;L statement'!$B$4:$B$23,'2.1 Database'!J85)</f>
        <v>1</v>
      </c>
    </row>
    <row r="86" spans="2:12" hidden="1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  <c r="L86" s="2">
        <f>COUNTIF('2.2 P&amp;L statement'!$B$4:$B$23,'2.1 Database'!J86)</f>
        <v>1</v>
      </c>
    </row>
    <row r="87" spans="2:12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  <c r="L87" s="2">
        <f>COUNTIF('2.2 P&amp;L statement'!$B$4:$B$23,'2.1 Database'!J87)</f>
        <v>0</v>
      </c>
    </row>
    <row r="88" spans="2:12" hidden="1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  <c r="L88" s="2">
        <f>COUNTIF('2.2 P&amp;L statement'!$B$4:$B$23,'2.1 Database'!J88)</f>
        <v>1</v>
      </c>
    </row>
    <row r="89" spans="2:12" hidden="1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  <c r="L89" s="2">
        <f>COUNTIF('2.2 P&amp;L statement'!$B$4:$B$23,'2.1 Database'!J89)</f>
        <v>1</v>
      </c>
    </row>
    <row r="90" spans="2:12" hidden="1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  <c r="L90" s="2">
        <f>COUNTIF('2.2 P&amp;L statement'!$B$4:$B$23,'2.1 Database'!J90)</f>
        <v>1</v>
      </c>
    </row>
    <row r="91" spans="2:12" hidden="1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  <c r="L91" s="2">
        <f>COUNTIF('2.2 P&amp;L statement'!$B$4:$B$23,'2.1 Database'!J91)</f>
        <v>1</v>
      </c>
    </row>
    <row r="92" spans="2:12" hidden="1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  <c r="L92" s="2">
        <f>COUNTIF('2.2 P&amp;L statement'!$B$4:$B$23,'2.1 Database'!J92)</f>
        <v>1</v>
      </c>
    </row>
    <row r="93" spans="2:12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  <c r="L93" s="2">
        <f>COUNTIF('2.2 P&amp;L statement'!$B$4:$B$23,'2.1 Database'!J93)</f>
        <v>0</v>
      </c>
    </row>
    <row r="94" spans="2:12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  <c r="L94" s="2">
        <f>COUNTIF('2.2 P&amp;L statement'!$B$4:$B$23,'2.1 Database'!J94)</f>
        <v>0</v>
      </c>
    </row>
    <row r="95" spans="2:12" hidden="1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  <c r="L95" s="2">
        <f>COUNTIF('2.2 P&amp;L statement'!$B$4:$B$23,'2.1 Database'!J95)</f>
        <v>1</v>
      </c>
    </row>
    <row r="96" spans="2:12" hidden="1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  <c r="L96" s="2">
        <f>COUNTIF('2.2 P&amp;L statement'!$B$4:$B$23,'2.1 Database'!J96)</f>
        <v>1</v>
      </c>
    </row>
    <row r="97" spans="2:12" hidden="1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  <c r="L97" s="2">
        <f>COUNTIF('2.2 P&amp;L statement'!$B$4:$B$23,'2.1 Database'!J97)</f>
        <v>1</v>
      </c>
    </row>
    <row r="98" spans="2:12" hidden="1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  <c r="L98" s="2">
        <f>COUNTIF('2.2 P&amp;L statement'!$B$4:$B$23,'2.1 Database'!J98)</f>
        <v>1</v>
      </c>
    </row>
    <row r="99" spans="2:12" hidden="1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  <c r="L99" s="2">
        <f>COUNTIF('2.2 P&amp;L statement'!$B$4:$B$23,'2.1 Database'!J99)</f>
        <v>1</v>
      </c>
    </row>
    <row r="100" spans="2:12" hidden="1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  <c r="L100" s="2">
        <f>COUNTIF('2.2 P&amp;L statement'!$B$4:$B$23,'2.1 Database'!J100)</f>
        <v>1</v>
      </c>
    </row>
    <row r="101" spans="2:12" hidden="1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  <c r="L101" s="2">
        <f>COUNTIF('2.2 P&amp;L statement'!$B$4:$B$23,'2.1 Database'!J101)</f>
        <v>1</v>
      </c>
    </row>
    <row r="102" spans="2:12" hidden="1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  <c r="L102" s="2">
        <f>COUNTIF('2.2 P&amp;L statement'!$B$4:$B$23,'2.1 Database'!J102)</f>
        <v>1</v>
      </c>
    </row>
    <row r="103" spans="2:12" hidden="1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  <c r="L103" s="2">
        <f>COUNTIF('2.2 P&amp;L statement'!$B$4:$B$23,'2.1 Database'!J103)</f>
        <v>1</v>
      </c>
    </row>
    <row r="104" spans="2:12" hidden="1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  <c r="L104" s="2">
        <f>COUNTIF('2.2 P&amp;L statement'!$B$4:$B$23,'2.1 Database'!J104)</f>
        <v>1</v>
      </c>
    </row>
    <row r="105" spans="2:12" hidden="1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  <c r="L105" s="2">
        <f>COUNTIF('2.2 P&amp;L statement'!$B$4:$B$23,'2.1 Database'!J105)</f>
        <v>1</v>
      </c>
    </row>
    <row r="106" spans="2:12" hidden="1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  <c r="L106" s="2">
        <f>COUNTIF('2.2 P&amp;L statement'!$B$4:$B$23,'2.1 Database'!J106)</f>
        <v>1</v>
      </c>
    </row>
    <row r="107" spans="2:12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  <c r="L107" s="2">
        <f>COUNTIF('2.2 P&amp;L statement'!$B$4:$B$23,'2.1 Database'!J107)</f>
        <v>0</v>
      </c>
    </row>
    <row r="108" spans="2:12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  <c r="L108" s="2">
        <f>COUNTIF('2.2 P&amp;L statement'!$B$4:$B$23,'2.1 Database'!J108)</f>
        <v>0</v>
      </c>
    </row>
    <row r="109" spans="2:12" ht="14.5" hidden="1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2" ht="14.5" x14ac:dyDescent="0.35">
      <c r="B110"/>
    </row>
    <row r="111" spans="2:12" ht="14.5" x14ac:dyDescent="0.35">
      <c r="B111"/>
    </row>
    <row r="112" spans="2:12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autoFilter ref="B3:L109" xr:uid="{00000000-0001-0000-0700-000000000000}">
    <filterColumn colId="10">
      <filters>
        <filter val="0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2"/>
  <sheetViews>
    <sheetView topLeftCell="A9" zoomScale="140" zoomScaleNormal="140" workbookViewId="0">
      <selection activeCell="C29" sqref="C29"/>
    </sheetView>
  </sheetViews>
  <sheetFormatPr defaultColWidth="8.90625" defaultRowHeight="11.5" x14ac:dyDescent="0.25"/>
  <cols>
    <col min="1" max="1" width="2" style="28" customWidth="1"/>
    <col min="2" max="2" width="20" style="28" bestFit="1" customWidth="1"/>
    <col min="3" max="16384" width="8.90625" style="28"/>
  </cols>
  <sheetData>
    <row r="1" spans="2:5" ht="15.5" x14ac:dyDescent="0.35">
      <c r="B1" s="29" t="s">
        <v>238</v>
      </c>
    </row>
    <row r="3" spans="2:5" ht="12" thickBot="1" x14ac:dyDescent="0.3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5">
      <c r="B4" s="28" t="s">
        <v>226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</row>
    <row r="5" spans="2:5" x14ac:dyDescent="0.25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</row>
    <row r="6" spans="2:5" x14ac:dyDescent="0.25">
      <c r="B6" s="28" t="s">
        <v>229</v>
      </c>
      <c r="C6" s="33">
        <f>SUMIF('2.1 Database'!$J:$J,'2.2 P&amp;L statement'!$B6,'2.1 Database'!F:F)/1000000</f>
        <v>3.2200542519999997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</row>
    <row r="7" spans="2:5" x14ac:dyDescent="0.25">
      <c r="B7" s="30" t="s">
        <v>239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</row>
    <row r="8" spans="2:5" x14ac:dyDescent="0.25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</row>
    <row r="9" spans="2:5" x14ac:dyDescent="0.25">
      <c r="B9" s="30" t="s">
        <v>240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</row>
    <row r="10" spans="2:5" x14ac:dyDescent="0.25">
      <c r="B10" s="28" t="s">
        <v>227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</row>
    <row r="11" spans="2:5" x14ac:dyDescent="0.25">
      <c r="B11" s="28" t="s">
        <v>228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</row>
    <row r="12" spans="2:5" x14ac:dyDescent="0.25">
      <c r="B12" s="28" t="s">
        <v>230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</row>
    <row r="13" spans="2:5" x14ac:dyDescent="0.25">
      <c r="B13" s="28" t="s">
        <v>231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</row>
    <row r="14" spans="2:5" x14ac:dyDescent="0.25">
      <c r="B14" s="28" t="s">
        <v>232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</row>
    <row r="15" spans="2:5" x14ac:dyDescent="0.25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</row>
    <row r="16" spans="2:5" x14ac:dyDescent="0.25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</row>
    <row r="17" spans="2:7" x14ac:dyDescent="0.25">
      <c r="B17" s="31" t="s">
        <v>241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</row>
    <row r="18" spans="2:7" x14ac:dyDescent="0.25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</row>
    <row r="19" spans="2:7" x14ac:dyDescent="0.25">
      <c r="B19" s="30" t="s">
        <v>242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</row>
    <row r="20" spans="2:7" x14ac:dyDescent="0.25">
      <c r="B20" s="28" t="s">
        <v>233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</row>
    <row r="21" spans="2:7" x14ac:dyDescent="0.25">
      <c r="B21" s="28" t="s">
        <v>234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</row>
    <row r="22" spans="2:7" x14ac:dyDescent="0.25">
      <c r="B22" s="30" t="s">
        <v>243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</row>
    <row r="23" spans="2:7" x14ac:dyDescent="0.25">
      <c r="B23" s="28" t="s">
        <v>235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</row>
    <row r="24" spans="2:7" ht="12" thickBot="1" x14ac:dyDescent="0.3">
      <c r="B24" s="32" t="s">
        <v>236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</row>
    <row r="26" spans="2:7" x14ac:dyDescent="0.25">
      <c r="B26" s="33"/>
      <c r="C26" s="33"/>
      <c r="D26" s="33"/>
      <c r="E26" s="33"/>
      <c r="F26" s="33"/>
      <c r="G26" s="33"/>
    </row>
    <row r="27" spans="2:7" x14ac:dyDescent="0.25">
      <c r="B27" s="33" t="s">
        <v>245</v>
      </c>
      <c r="C27" s="33">
        <f>SUMIF('2.1 Database'!$J:$J,'2.2 P&amp;L statement'!$B27,'2.1 Database'!F:F)/1000000</f>
        <v>-2.9041179939999986</v>
      </c>
      <c r="D27" s="33">
        <f>SUMIF('2.1 Database'!$J:$J,'2.2 P&amp;L statement'!$B27,'2.1 Database'!G:G)/1000000</f>
        <v>6.0738081600000005</v>
      </c>
      <c r="E27" s="33">
        <f>SUMIF('2.1 Database'!$J:$J,'2.2 P&amp;L statement'!$B27,'2.1 Database'!H:H)/1000000</f>
        <v>-0.77929047600000001</v>
      </c>
      <c r="F27" s="33"/>
      <c r="G27" s="33"/>
    </row>
    <row r="28" spans="2:7" x14ac:dyDescent="0.25">
      <c r="B28" s="33" t="s">
        <v>246</v>
      </c>
      <c r="C28" s="33">
        <f>ROUND(C24+C27,9)</f>
        <v>0</v>
      </c>
      <c r="D28" s="33">
        <f>D24+D27</f>
        <v>0</v>
      </c>
      <c r="E28" s="33">
        <f>E24+E27</f>
        <v>0</v>
      </c>
      <c r="F28" s="33"/>
      <c r="G28" s="33"/>
    </row>
    <row r="29" spans="2:7" x14ac:dyDescent="0.25">
      <c r="B29" s="33"/>
      <c r="C29" s="33"/>
      <c r="D29" s="33"/>
      <c r="E29" s="33"/>
      <c r="F29" s="33"/>
      <c r="G29" s="33"/>
    </row>
    <row r="30" spans="2:7" x14ac:dyDescent="0.25">
      <c r="B30" s="33"/>
      <c r="C30" s="33"/>
      <c r="D30" s="33"/>
      <c r="E30" s="33"/>
      <c r="F30" s="33"/>
      <c r="G30" s="33"/>
    </row>
    <row r="31" spans="2:7" x14ac:dyDescent="0.25">
      <c r="B31" s="33"/>
      <c r="C31" s="33"/>
      <c r="D31" s="33"/>
      <c r="E31" s="33"/>
      <c r="F31" s="33"/>
      <c r="G31" s="33"/>
    </row>
    <row r="32" spans="2:7" x14ac:dyDescent="0.25">
      <c r="C32" s="33"/>
      <c r="D32" s="33"/>
      <c r="E32" s="33"/>
      <c r="F32" s="33"/>
      <c r="G32" s="3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2026-02-03T10:02:21Z</dcterms:modified>
</cp:coreProperties>
</file>