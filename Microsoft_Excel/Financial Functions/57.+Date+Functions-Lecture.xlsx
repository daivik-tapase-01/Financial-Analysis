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GitHub\Financial-Analysis\Microsoft_Excel\Financial Functions\"/>
    </mc:Choice>
  </mc:AlternateContent>
  <xr:revisionPtr revIDLastSave="0" documentId="13_ncr:1_{DC753BAF-6222-4224-B246-76504E44B39D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Introduction" sheetId="1" r:id="rId1"/>
    <sheet name="Difference in Time" sheetId="2" r:id="rId2"/>
    <sheet name="EOMONTH &amp; EDA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F6" i="3"/>
  <c r="E7" i="3"/>
  <c r="D7" i="3"/>
  <c r="D6" i="3"/>
  <c r="E6" i="3"/>
  <c r="E6" i="2"/>
  <c r="E7" i="2"/>
  <c r="E5" i="2"/>
  <c r="E10" i="1"/>
  <c r="E9" i="1"/>
  <c r="C11" i="1"/>
  <c r="C10" i="1"/>
  <c r="C9" i="1"/>
  <c r="F5" i="3"/>
  <c r="E5" i="3"/>
  <c r="D5" i="3"/>
  <c r="C6" i="1"/>
  <c r="E5" i="1" s="1"/>
  <c r="C5" i="1"/>
  <c r="C4" i="1"/>
  <c r="E4" i="1" l="1"/>
</calcChain>
</file>

<file path=xl/sharedStrings.xml><?xml version="1.0" encoding="utf-8"?>
<sst xmlns="http://schemas.openxmlformats.org/spreadsheetml/2006/main" count="10" uniqueCount="6">
  <si>
    <t>Date &amp; Time Functions</t>
  </si>
  <si>
    <t>End Date</t>
  </si>
  <si>
    <t>Start Date</t>
  </si>
  <si>
    <t>Difference</t>
  </si>
  <si>
    <t>EOMONTH</t>
  </si>
  <si>
    <t>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</si>
</sst>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4" fontId="4" fillId="2" borderId="0" xfId="0" applyNumberFormat="1" applyFont="1" applyFill="1"/>
    <xf numFmtId="0" fontId="4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6" fillId="2" borderId="0" xfId="0" applyFont="1" applyFill="1" applyAlignment="1">
      <alignment horizontal="right"/>
    </xf>
    <xf numFmtId="0" fontId="5" fillId="2" borderId="0" xfId="2" applyNumberFormat="1" applyFont="1" applyFill="1"/>
    <xf numFmtId="0" fontId="5" fillId="2" borderId="0" xfId="1" applyNumberFormat="1" applyFont="1" applyFill="1"/>
    <xf numFmtId="0" fontId="6" fillId="2" borderId="0" xfId="0" applyFont="1" applyFill="1" applyAlignment="1">
      <alignment horizontal="left"/>
    </xf>
    <xf numFmtId="0" fontId="6" fillId="2" borderId="0" xfId="1" applyNumberFormat="1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right"/>
    </xf>
    <xf numFmtId="14" fontId="4" fillId="2" borderId="0" xfId="0" applyNumberFormat="1" applyFont="1" applyFill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"/>
  <sheetViews>
    <sheetView workbookViewId="0">
      <selection activeCell="E11" sqref="E11"/>
    </sheetView>
  </sheetViews>
  <sheetFormatPr defaultColWidth="9.1796875" defaultRowHeight="11.5" x14ac:dyDescent="0.25"/>
  <cols>
    <col min="1" max="1" width="2" style="2" customWidth="1"/>
    <col min="2" max="2" width="22" style="2" customWidth="1"/>
    <col min="3" max="3" width="9.1796875" style="11" customWidth="1"/>
    <col min="4" max="7" width="9.1796875" style="2" customWidth="1"/>
    <col min="8" max="16384" width="9.1796875" style="2"/>
  </cols>
  <sheetData>
    <row r="1" spans="2:5" s="4" customFormat="1" ht="15.5" x14ac:dyDescent="0.35">
      <c r="B1" s="3" t="s">
        <v>0</v>
      </c>
    </row>
    <row r="2" spans="2:5" x14ac:dyDescent="0.25">
      <c r="C2" s="2"/>
    </row>
    <row r="3" spans="2:5" x14ac:dyDescent="0.25">
      <c r="C3" s="5"/>
      <c r="D3" s="5"/>
      <c r="E3" s="5"/>
    </row>
    <row r="4" spans="2:5" x14ac:dyDescent="0.25">
      <c r="B4" s="1">
        <v>43466</v>
      </c>
      <c r="C4" s="6">
        <f>DAY(B4)</f>
        <v>1</v>
      </c>
      <c r="E4" s="1">
        <f>DATE(C6,C5,C4)</f>
        <v>44317</v>
      </c>
    </row>
    <row r="5" spans="2:5" x14ac:dyDescent="0.25">
      <c r="B5" s="1">
        <v>43957</v>
      </c>
      <c r="C5" s="6">
        <f>MONTH(B5)</f>
        <v>5</v>
      </c>
      <c r="E5" s="1">
        <f>DATE(C6+1,C5, C4)</f>
        <v>44682</v>
      </c>
    </row>
    <row r="6" spans="2:5" x14ac:dyDescent="0.25">
      <c r="B6" s="1">
        <v>44337</v>
      </c>
      <c r="C6" s="7">
        <f>YEAR(B6)</f>
        <v>2021</v>
      </c>
    </row>
    <row r="7" spans="2:5" x14ac:dyDescent="0.25">
      <c r="B7" s="8"/>
      <c r="C7" s="5"/>
      <c r="D7" s="5"/>
      <c r="E7" s="5"/>
    </row>
    <row r="8" spans="2:5" x14ac:dyDescent="0.25">
      <c r="B8" s="8"/>
      <c r="C8" s="9"/>
      <c r="D8" s="10"/>
      <c r="E8" s="10"/>
    </row>
    <row r="9" spans="2:5" x14ac:dyDescent="0.25">
      <c r="B9" s="11"/>
      <c r="C9" s="10">
        <f>DAY(B4)</f>
        <v>1</v>
      </c>
      <c r="D9" s="10"/>
      <c r="E9" s="13">
        <f>DATE(C11,C10,C9)</f>
        <v>44317</v>
      </c>
    </row>
    <row r="10" spans="2:5" x14ac:dyDescent="0.25">
      <c r="C10" s="2">
        <f>MONTH(B5)</f>
        <v>5</v>
      </c>
      <c r="E10" s="1">
        <f>DATE(C11+1,C10,C9)</f>
        <v>44682</v>
      </c>
    </row>
    <row r="11" spans="2:5" x14ac:dyDescent="0.25">
      <c r="C11" s="10">
        <f>YEAR(B6)</f>
        <v>2021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1"/>
  <sheetViews>
    <sheetView workbookViewId="0">
      <selection activeCell="F7" sqref="F7"/>
    </sheetView>
  </sheetViews>
  <sheetFormatPr defaultColWidth="9.1796875" defaultRowHeight="11.5" x14ac:dyDescent="0.25"/>
  <cols>
    <col min="1" max="1" width="2" style="2" customWidth="1"/>
    <col min="2" max="2" width="9.1796875" style="2" customWidth="1"/>
    <col min="3" max="3" width="10.7265625" style="2" customWidth="1"/>
    <col min="4" max="4" width="10.7265625" style="11" customWidth="1"/>
    <col min="5" max="5" width="10.7265625" style="2" customWidth="1"/>
    <col min="6" max="8" width="9.1796875" style="2" customWidth="1"/>
    <col min="9" max="16384" width="9.1796875" style="2"/>
  </cols>
  <sheetData>
    <row r="1" spans="2:6" s="4" customFormat="1" ht="15.5" x14ac:dyDescent="0.35">
      <c r="B1" s="3" t="s">
        <v>0</v>
      </c>
    </row>
    <row r="2" spans="2:6" x14ac:dyDescent="0.25">
      <c r="D2" s="2"/>
    </row>
    <row r="3" spans="2:6" x14ac:dyDescent="0.25">
      <c r="D3" s="2"/>
    </row>
    <row r="4" spans="2:6" x14ac:dyDescent="0.25">
      <c r="C4" s="12" t="s">
        <v>2</v>
      </c>
      <c r="D4" s="12" t="s">
        <v>1</v>
      </c>
      <c r="E4" s="12" t="s">
        <v>3</v>
      </c>
      <c r="F4" s="5"/>
    </row>
    <row r="5" spans="2:6" ht="15" customHeight="1" x14ac:dyDescent="0.25">
      <c r="C5" s="1">
        <v>43466</v>
      </c>
      <c r="D5" s="1">
        <v>43485</v>
      </c>
      <c r="E5" s="2">
        <f>D5-C5</f>
        <v>19</v>
      </c>
      <c r="F5" s="1"/>
    </row>
    <row r="6" spans="2:6" ht="15" customHeight="1" x14ac:dyDescent="0.25">
      <c r="C6" s="1">
        <v>43957</v>
      </c>
      <c r="D6" s="1">
        <v>44080</v>
      </c>
      <c r="E6" s="2">
        <f t="shared" ref="E6:E7" si="0">D6-C6</f>
        <v>123</v>
      </c>
      <c r="F6" s="1"/>
    </row>
    <row r="7" spans="2:6" ht="15" customHeight="1" x14ac:dyDescent="0.25">
      <c r="C7" s="1">
        <v>44337</v>
      </c>
      <c r="D7" s="1">
        <v>44702</v>
      </c>
      <c r="E7" s="2">
        <f t="shared" si="0"/>
        <v>365</v>
      </c>
    </row>
    <row r="8" spans="2:6" x14ac:dyDescent="0.25">
      <c r="C8" s="8"/>
      <c r="D8" s="5"/>
      <c r="E8" s="5"/>
      <c r="F8" s="5"/>
    </row>
    <row r="9" spans="2:6" x14ac:dyDescent="0.25">
      <c r="C9" s="8"/>
      <c r="D9" s="9"/>
      <c r="E9" s="10"/>
      <c r="F9" s="10"/>
    </row>
    <row r="10" spans="2:6" x14ac:dyDescent="0.25">
      <c r="C10" s="11"/>
      <c r="D10" s="10"/>
      <c r="E10" s="10"/>
      <c r="F10" s="10"/>
    </row>
    <row r="11" spans="2:6" x14ac:dyDescent="0.25">
      <c r="D1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1"/>
  <sheetViews>
    <sheetView tabSelected="1" workbookViewId="0">
      <selection activeCell="B3" sqref="B3"/>
    </sheetView>
  </sheetViews>
  <sheetFormatPr defaultColWidth="9.1796875" defaultRowHeight="11.5" x14ac:dyDescent="0.25"/>
  <cols>
    <col min="1" max="1" width="2" style="2" customWidth="1"/>
    <col min="2" max="2" width="9.1796875" style="2" customWidth="1"/>
    <col min="3" max="3" width="10.7265625" style="2" customWidth="1"/>
    <col min="4" max="4" width="10.7265625" style="11" customWidth="1"/>
    <col min="5" max="5" width="10.7265625" style="2" customWidth="1"/>
    <col min="6" max="8" width="9.1796875" style="2" customWidth="1"/>
    <col min="9" max="16384" width="9.1796875" style="2"/>
  </cols>
  <sheetData>
    <row r="1" spans="2:6" s="4" customFormat="1" ht="15.5" x14ac:dyDescent="0.35">
      <c r="B1" s="3" t="s">
        <v>0</v>
      </c>
    </row>
    <row r="2" spans="2:6" x14ac:dyDescent="0.25">
      <c r="D2" s="2"/>
    </row>
    <row r="3" spans="2:6" x14ac:dyDescent="0.25">
      <c r="D3" s="2"/>
    </row>
    <row r="4" spans="2:6" x14ac:dyDescent="0.25">
      <c r="C4" s="12" t="s">
        <v>2</v>
      </c>
      <c r="D4" s="12" t="s">
        <v>4</v>
      </c>
      <c r="E4" s="12" t="s">
        <v>5</v>
      </c>
      <c r="F4" s="12" t="s">
        <v>5</v>
      </c>
    </row>
    <row r="5" spans="2:6" ht="15" customHeight="1" x14ac:dyDescent="0.25">
      <c r="C5" s="1">
        <v>43466</v>
      </c>
      <c r="D5" s="1">
        <f>EOMONTH(C5, 1)</f>
        <v>43524</v>
      </c>
      <c r="E5" s="1">
        <f>EDATE(C5, 5)</f>
        <v>43617</v>
      </c>
      <c r="F5" s="1">
        <f>EDATE(C5, 5*12)</f>
        <v>45292</v>
      </c>
    </row>
    <row r="6" spans="2:6" ht="15" customHeight="1" x14ac:dyDescent="0.25">
      <c r="C6" s="1">
        <v>43957</v>
      </c>
      <c r="D6" s="1">
        <f>EOMONTH(C6, 1)</f>
        <v>44012</v>
      </c>
      <c r="E6" s="1">
        <f>EDATE(C6,4)</f>
        <v>44080</v>
      </c>
      <c r="F6" s="1">
        <f>EDATE(C6,2*12)</f>
        <v>44687</v>
      </c>
    </row>
    <row r="7" spans="2:6" ht="15" customHeight="1" x14ac:dyDescent="0.25">
      <c r="C7" s="1">
        <v>44337</v>
      </c>
      <c r="D7" s="1">
        <f>EOMONTH(C7,0)</f>
        <v>44347</v>
      </c>
      <c r="E7" s="1">
        <f>EDATE(C7,10)</f>
        <v>44641</v>
      </c>
      <c r="F7" s="1">
        <f>EDATE(C7,2*12)</f>
        <v>45067</v>
      </c>
    </row>
    <row r="8" spans="2:6" x14ac:dyDescent="0.25">
      <c r="C8" s="8"/>
      <c r="D8" s="5"/>
      <c r="E8" s="5"/>
      <c r="F8" s="5"/>
    </row>
    <row r="9" spans="2:6" x14ac:dyDescent="0.25">
      <c r="C9" s="8"/>
      <c r="D9" s="9"/>
      <c r="E9" s="10"/>
      <c r="F9" s="10"/>
    </row>
    <row r="10" spans="2:6" x14ac:dyDescent="0.25">
      <c r="C10" s="11"/>
      <c r="D10" s="10"/>
      <c r="E10" s="10"/>
      <c r="F10" s="10"/>
    </row>
    <row r="11" spans="2:6" x14ac:dyDescent="0.25">
      <c r="D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Difference in Time</vt:lpstr>
      <vt:lpstr>EOMONTH &amp; EDATE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365Careers</dc:creator>
  <cp:lastModifiedBy>Daivik Tapase</cp:lastModifiedBy>
  <dcterms:created xsi:type="dcterms:W3CDTF">2016-10-21T10:23:34Z</dcterms:created>
  <dcterms:modified xsi:type="dcterms:W3CDTF">2025-12-28T11:01:49Z</dcterms:modified>
</cp:coreProperties>
</file>