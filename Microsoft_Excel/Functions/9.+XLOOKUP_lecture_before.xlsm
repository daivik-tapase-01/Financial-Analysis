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C5BBEA04-B48B-DB03-FC8F-E18A6752861A}"/>
  <workbookPr filterPrivacy="1" codeName="ThisWorkbook" defaultThemeVersion="124226"/>
  <xr:revisionPtr revIDLastSave="0" documentId="13_ncr:1_{3467192F-8BE2-4F0B-A130-A75D8B5D6A12}" xr6:coauthVersionLast="47" xr6:coauthVersionMax="47" xr10:uidLastSave="{00000000-0000-0000-0000-000000000000}"/>
  <bookViews>
    <workbookView xWindow="-110" yWindow="-110" windowWidth="19420" windowHeight="11020" activeTab="2" xr2:uid="{00000000-000D-0000-FFFF-FFFF00000000}"/>
  </bookViews>
  <sheets>
    <sheet name="8. VLOOKUP" sheetId="8" r:id="rId1"/>
    <sheet name="9. INDEX &amp; MATCH" sheetId="12" r:id="rId2"/>
    <sheet name="9a. XLOOKUP" sheetId="3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2" l="1"/>
  <c r="L5" i="32"/>
  <c r="K5" i="32"/>
  <c r="J5" i="32"/>
  <c r="M5" i="32"/>
  <c r="K4" i="32"/>
  <c r="L4" i="32"/>
  <c r="M4" i="32"/>
  <c r="L5" i="8"/>
  <c r="L4" i="8"/>
  <c r="K5" i="8"/>
  <c r="K4" i="8"/>
  <c r="J5" i="8"/>
  <c r="J4" i="8"/>
  <c r="I5" i="8"/>
  <c r="I4" i="8"/>
  <c r="M5" i="12"/>
  <c r="L5" i="12"/>
  <c r="K5" i="12"/>
  <c r="M4" i="12"/>
  <c r="L4" i="12"/>
  <c r="K4" i="12"/>
  <c r="J5" i="12"/>
  <c r="J4" i="12"/>
</calcChain>
</file>

<file path=xl/sharedStrings.xml><?xml version="1.0" encoding="utf-8"?>
<sst xmlns="http://schemas.openxmlformats.org/spreadsheetml/2006/main" count="120" uniqueCount="23">
  <si>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</si>
  <si>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</si>
  <si>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</si>
  <si>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</si>
  <si>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</si>
  <si>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</si>
  <si>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</si>
  <si>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</si>
  <si>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</si>
  <si>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</si>
  <si>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</si>
  <si>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</si>
  <si>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</si>
  <si>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</si>
  <si>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</si>
  <si>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</si>
  <si>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</si>
  <si>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</si>
  <si>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</si>
  <si>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Champions 
league</t>
  </si>
  <si>
    <t>9. INDEX &amp; MATCH</t>
  </si>
  <si>
    <t>8. VLOOKUP</t>
  </si>
  <si>
    <t>9a. XLOOKUP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</si>
</sst>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1" fillId="2" borderId="0" xfId="0" applyFont="1" applyFill="1" applyAlignment="1">
      <alignment horizontal="right"/>
    </xf>
  </cellXfs>
  <cellStyles count="2"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/>
  </sheetViews>
  <sheetFormatPr defaultColWidth="9.1796875" defaultRowHeight="11.5" x14ac:dyDescent="0.25"/>
  <cols>
    <col min="1" max="1" width="2" style="1" customWidth="1"/>
    <col min="2" max="2" width="15.81640625" style="1" bestFit="1" customWidth="1"/>
    <col min="3" max="3" width="8.1796875" style="1" bestFit="1" customWidth="1"/>
    <col min="4" max="4" width="16.1796875" style="1" bestFit="1" customWidth="1"/>
    <col min="5" max="5" width="12.453125" style="1" bestFit="1" customWidth="1"/>
    <col min="6" max="6" width="12.26953125" style="1" bestFit="1" customWidth="1"/>
    <col min="7" max="7" width="9.1796875" style="1"/>
    <col min="8" max="8" width="11" style="1" customWidth="1"/>
    <col min="9" max="9" width="8.1796875" style="1" bestFit="1" customWidth="1"/>
    <col min="10" max="10" width="10.54296875" style="1" customWidth="1"/>
    <col min="11" max="11" width="12.453125" style="1" bestFit="1" customWidth="1"/>
    <col min="12" max="12" width="12.26953125" style="1" bestFit="1" customWidth="1"/>
    <col min="13" max="16384" width="9.1796875" style="1"/>
  </cols>
  <sheetData>
    <row r="1" spans="2:12" ht="15.5" x14ac:dyDescent="0.35">
      <c r="B1" s="2" t="s">
        <v>21</v>
      </c>
    </row>
    <row r="3" spans="2:12" ht="23.5" thickBot="1" x14ac:dyDescent="0.3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H3" s="3" t="s">
        <v>0</v>
      </c>
      <c r="I3" s="3" t="s">
        <v>2</v>
      </c>
      <c r="J3" s="6" t="s">
        <v>19</v>
      </c>
      <c r="K3" s="3" t="s">
        <v>3</v>
      </c>
      <c r="L3" s="3" t="s">
        <v>1</v>
      </c>
    </row>
    <row r="4" spans="2:12" x14ac:dyDescent="0.25">
      <c r="B4" s="1" t="s">
        <v>5</v>
      </c>
      <c r="C4" s="1" t="s">
        <v>4</v>
      </c>
      <c r="D4" s="1" t="s">
        <v>17</v>
      </c>
      <c r="E4" s="7">
        <v>34</v>
      </c>
      <c r="F4" s="7">
        <v>71</v>
      </c>
      <c r="H4" s="1" t="s">
        <v>10</v>
      </c>
      <c r="I4" s="1" t="str">
        <f>+VLOOKUP($H4,$B$4:$F$12,2,FALSE)</f>
        <v>Italy</v>
      </c>
      <c r="J4" s="1" t="str">
        <f>+VLOOKUP($H4,$B$4:$F$12,3,FALSE)</f>
        <v>No</v>
      </c>
      <c r="K4" s="1">
        <f>+VLOOKUP($H4,$B$4:$F$12,4,FALSE)</f>
        <v>38</v>
      </c>
      <c r="L4" s="1">
        <f>+VLOOKUP($H4,$B$4:$F$12,5,FALSE)</f>
        <v>56</v>
      </c>
    </row>
    <row r="5" spans="2:12" x14ac:dyDescent="0.25">
      <c r="B5" s="1" t="s">
        <v>9</v>
      </c>
      <c r="C5" s="1" t="s">
        <v>15</v>
      </c>
      <c r="D5" s="1" t="s">
        <v>17</v>
      </c>
      <c r="E5" s="7">
        <v>38</v>
      </c>
      <c r="F5" s="7">
        <v>57</v>
      </c>
      <c r="H5" s="1" t="s">
        <v>5</v>
      </c>
      <c r="I5" s="1" t="str">
        <f>+VLOOKUP($H5,$B$4:$F$12,2,FALSE)</f>
        <v>Germany</v>
      </c>
      <c r="J5" s="1" t="str">
        <f>+VLOOKUP($H5,$B$4:$F$12,3,FALSE)</f>
        <v>Yes</v>
      </c>
      <c r="K5" s="1">
        <f>+VLOOKUP($H5,$B$4:$F$12,4,FALSE)</f>
        <v>34</v>
      </c>
      <c r="L5" s="1">
        <f>+VLOOKUP($H5,$B$4:$F$12,5,FALSE)</f>
        <v>71</v>
      </c>
    </row>
    <row r="6" spans="2:12" x14ac:dyDescent="0.25">
      <c r="B6" s="1" t="s">
        <v>12</v>
      </c>
      <c r="C6" s="1" t="s">
        <v>16</v>
      </c>
      <c r="D6" s="1" t="s">
        <v>17</v>
      </c>
      <c r="E6" s="7">
        <v>38</v>
      </c>
      <c r="F6" s="7">
        <v>64</v>
      </c>
    </row>
    <row r="7" spans="2:12" x14ac:dyDescent="0.25">
      <c r="B7" s="1" t="s">
        <v>8</v>
      </c>
      <c r="C7" s="1" t="s">
        <v>4</v>
      </c>
      <c r="D7" s="1" t="s">
        <v>18</v>
      </c>
      <c r="E7" s="7">
        <v>34</v>
      </c>
      <c r="F7" s="7">
        <v>27</v>
      </c>
    </row>
    <row r="8" spans="2:12" x14ac:dyDescent="0.25">
      <c r="B8" s="1" t="s">
        <v>10</v>
      </c>
      <c r="C8" s="1" t="s">
        <v>15</v>
      </c>
      <c r="D8" s="1" t="s">
        <v>18</v>
      </c>
      <c r="E8" s="7">
        <v>38</v>
      </c>
      <c r="F8" s="7">
        <v>56</v>
      </c>
    </row>
    <row r="9" spans="2:12" x14ac:dyDescent="0.25">
      <c r="B9" s="1" t="s">
        <v>11</v>
      </c>
      <c r="C9" s="1" t="s">
        <v>15</v>
      </c>
      <c r="D9" s="1" t="s">
        <v>18</v>
      </c>
      <c r="E9" s="7">
        <v>38</v>
      </c>
      <c r="F9" s="7">
        <v>65</v>
      </c>
    </row>
    <row r="10" spans="2:12" x14ac:dyDescent="0.25">
      <c r="B10" s="1" t="s">
        <v>7</v>
      </c>
      <c r="C10" s="1" t="s">
        <v>4</v>
      </c>
      <c r="D10" s="1" t="s">
        <v>17</v>
      </c>
      <c r="E10" s="7">
        <v>34</v>
      </c>
      <c r="F10" s="7">
        <v>90</v>
      </c>
    </row>
    <row r="11" spans="2:12" x14ac:dyDescent="0.25">
      <c r="B11" s="1" t="s">
        <v>13</v>
      </c>
      <c r="C11" s="1" t="s">
        <v>16</v>
      </c>
      <c r="D11" s="1" t="s">
        <v>18</v>
      </c>
      <c r="E11" s="7">
        <v>38</v>
      </c>
      <c r="F11" s="7">
        <v>84</v>
      </c>
    </row>
    <row r="12" spans="2:12" x14ac:dyDescent="0.25">
      <c r="B12" s="1" t="s">
        <v>14</v>
      </c>
      <c r="C12" s="1" t="s">
        <v>16</v>
      </c>
      <c r="D12" s="1" t="s">
        <v>17</v>
      </c>
      <c r="E12" s="7">
        <v>38</v>
      </c>
      <c r="F12" s="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/>
  </sheetViews>
  <sheetFormatPr defaultColWidth="9.1796875" defaultRowHeight="11.5" x14ac:dyDescent="0.25"/>
  <cols>
    <col min="1" max="1" width="2" style="1" customWidth="1"/>
    <col min="2" max="2" width="16.81640625" style="1" bestFit="1" customWidth="1"/>
    <col min="3" max="3" width="8.1796875" style="1" bestFit="1" customWidth="1"/>
    <col min="4" max="4" width="16.1796875" style="1" bestFit="1" customWidth="1"/>
    <col min="5" max="5" width="12.453125" style="1" bestFit="1" customWidth="1"/>
    <col min="6" max="6" width="12.26953125" style="1" bestFit="1" customWidth="1"/>
    <col min="7" max="8" width="9.1796875" style="1"/>
    <col min="9" max="9" width="10" style="1" bestFit="1" customWidth="1"/>
    <col min="10" max="10" width="9.1796875" style="1"/>
    <col min="11" max="11" width="16.1796875" style="1" bestFit="1" customWidth="1"/>
    <col min="12" max="12" width="12.453125" style="1" bestFit="1" customWidth="1"/>
    <col min="13" max="13" width="12.26953125" style="1" bestFit="1" customWidth="1"/>
    <col min="14" max="16384" width="9.1796875" style="1"/>
  </cols>
  <sheetData>
    <row r="1" spans="2:13" ht="15.5" x14ac:dyDescent="0.35">
      <c r="B1" s="2" t="s">
        <v>20</v>
      </c>
    </row>
    <row r="3" spans="2:13" ht="12" thickBot="1" x14ac:dyDescent="0.3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5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INDEX(C$4:C$12,MATCH($I4,$B$4:$B$12,0))</f>
        <v>Italy</v>
      </c>
      <c r="K4" s="1" t="str">
        <f t="shared" ref="K4:K5" si="0">INDEX(D$4:D$12,MATCH($I4,$B$4:$B$12,0))</f>
        <v>Yes</v>
      </c>
      <c r="L4" s="1">
        <f t="shared" ref="L4:L5" si="1">INDEX(E$4:E$12,MATCH($I4,$B$4:$B$12,0))</f>
        <v>38</v>
      </c>
      <c r="M4" s="1">
        <f t="shared" ref="M4:M5" si="2">INDEX(F$4:F$12,MATCH($I4,$B$4:$B$12,0))</f>
        <v>57</v>
      </c>
    </row>
    <row r="5" spans="2:13" x14ac:dyDescent="0.25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INDEX(C$4:C$12,MATCH($I5,$B$4:$B$12,0))</f>
        <v>Germany</v>
      </c>
      <c r="K5" s="1" t="str">
        <f t="shared" si="0"/>
        <v>No</v>
      </c>
      <c r="L5" s="1">
        <f t="shared" si="1"/>
        <v>34</v>
      </c>
      <c r="M5" s="1">
        <f t="shared" si="2"/>
        <v>27</v>
      </c>
    </row>
    <row r="6" spans="2:13" x14ac:dyDescent="0.25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5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5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5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5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5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5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BBFF-444E-4AB8-9E61-13AA72CCC640}">
  <sheetPr codeName="Sheet13"/>
  <dimension ref="B1:M12"/>
  <sheetViews>
    <sheetView tabSelected="1" workbookViewId="0">
      <selection activeCell="I9" sqref="I9"/>
    </sheetView>
  </sheetViews>
  <sheetFormatPr defaultColWidth="9.1796875" defaultRowHeight="11.5" x14ac:dyDescent="0.25"/>
  <cols>
    <col min="1" max="1" width="2" style="1" customWidth="1"/>
    <col min="2" max="2" width="16.81640625" style="1" bestFit="1" customWidth="1"/>
    <col min="3" max="3" width="8.1796875" style="1" bestFit="1" customWidth="1"/>
    <col min="4" max="4" width="16.1796875" style="1" bestFit="1" customWidth="1"/>
    <col min="5" max="5" width="12.453125" style="1" bestFit="1" customWidth="1"/>
    <col min="6" max="6" width="12.26953125" style="1" bestFit="1" customWidth="1"/>
    <col min="7" max="8" width="9.1796875" style="1"/>
    <col min="9" max="9" width="10" style="1" bestFit="1" customWidth="1"/>
    <col min="10" max="10" width="9.1796875" style="1"/>
    <col min="11" max="11" width="16.1796875" style="1" bestFit="1" customWidth="1"/>
    <col min="12" max="12" width="12.453125" style="1" bestFit="1" customWidth="1"/>
    <col min="13" max="13" width="12.26953125" style="1" bestFit="1" customWidth="1"/>
    <col min="14" max="16384" width="9.1796875" style="1"/>
  </cols>
  <sheetData>
    <row r="1" spans="2:13" ht="15.5" x14ac:dyDescent="0.35">
      <c r="B1" s="2" t="s">
        <v>22</v>
      </c>
    </row>
    <row r="3" spans="2:13" ht="12" thickBot="1" x14ac:dyDescent="0.3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5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_xlfn.XLOOKUP($I4,$B$4:$B$12,C$4:C$12)</f>
        <v>Italy</v>
      </c>
      <c r="K4" s="1" t="str">
        <f t="shared" ref="K4:M5" si="0">_xlfn.XLOOKUP($I4,$B$4:$B$12,D$4:D$12)</f>
        <v>Yes</v>
      </c>
      <c r="L4" s="1">
        <f t="shared" si="0"/>
        <v>38</v>
      </c>
      <c r="M4" s="1">
        <f t="shared" si="0"/>
        <v>57</v>
      </c>
    </row>
    <row r="5" spans="2:13" x14ac:dyDescent="0.25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_xlfn.XLOOKUP($I5,$B$4:$B$12,C$4:C$12)</f>
        <v>Germany</v>
      </c>
      <c r="K5" s="1" t="str">
        <f t="shared" si="0"/>
        <v>No</v>
      </c>
      <c r="L5" s="1">
        <f t="shared" si="0"/>
        <v>34</v>
      </c>
      <c r="M5" s="1">
        <f t="shared" si="0"/>
        <v>27</v>
      </c>
    </row>
    <row r="6" spans="2:13" x14ac:dyDescent="0.25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5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5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5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5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5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5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8. VLOOKUP</vt:lpstr>
      <vt:lpstr>9. INDEX &amp; MATCH</vt:lpstr>
      <vt:lpstr>9a. XLOOKUP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2025-12-27T06:30:27Z</dcterms:modified>
</cp:coreProperties>
</file>