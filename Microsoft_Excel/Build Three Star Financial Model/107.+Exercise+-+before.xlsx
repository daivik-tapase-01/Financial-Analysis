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Financial-Analysis\Microsoft_Excel\Build Three Star Financial Model\"/>
    </mc:Choice>
  </mc:AlternateContent>
  <xr:revisionPtr revIDLastSave="0" documentId="13_ncr:1_{447D663F-0D53-4B50-819A-17914DB77F55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Data Source" sheetId="7" r:id="rId1"/>
    <sheet name="Exercise --&gt;" sheetId="8" r:id="rId2"/>
    <sheet name="1.1" sheetId="11" r:id="rId3"/>
    <sheet name="Sheet1" sheetId="12" r:id="rId4"/>
  </sheets>
  <definedNames>
    <definedName name="_xlnm._FilterDatabase" localSheetId="2" hidden="1">'1.1'!$B$3:$F$438</definedName>
    <definedName name="_xlnm._FilterDatabase" localSheetId="0" hidden="1">'Data Source'!#REF!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2" l="1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G7" i="12"/>
  <c r="H6" i="12"/>
  <c r="G6" i="12"/>
  <c r="H5" i="12"/>
  <c r="G5" i="12"/>
  <c r="H4" i="12"/>
  <c r="G4" i="12"/>
  <c r="E14" i="12"/>
  <c r="D14" i="12"/>
  <c r="C14" i="12"/>
  <c r="E12" i="12"/>
  <c r="D12" i="12"/>
  <c r="C12" i="12"/>
  <c r="E10" i="12"/>
  <c r="D10" i="12"/>
  <c r="C10" i="12"/>
  <c r="E8" i="12"/>
  <c r="D8" i="12"/>
  <c r="C8" i="12"/>
  <c r="D6" i="12"/>
  <c r="E6" i="12"/>
  <c r="C6" i="12"/>
  <c r="E13" i="12"/>
  <c r="D13" i="12"/>
  <c r="C13" i="12"/>
  <c r="E11" i="12"/>
  <c r="D11" i="12"/>
  <c r="C11" i="12"/>
  <c r="E9" i="12"/>
  <c r="D9" i="12"/>
  <c r="C9" i="12"/>
  <c r="E7" i="12"/>
  <c r="D7" i="12"/>
  <c r="C7" i="12"/>
  <c r="D5" i="12"/>
  <c r="E5" i="12"/>
  <c r="C5" i="12"/>
  <c r="D4" i="12"/>
  <c r="E4" i="12"/>
  <c r="C4" i="12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<sst xmlns="http://schemas.openxmlformats.org/spreadsheetml/2006/main" count="1764" uniqueCount="66">
  <si>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</si>
  <si>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</si>
  <si>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</si>
  <si>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</si>
  <si>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</si>
  <si>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</si>
  <si>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</si>
  <si>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</si>
  <si>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</si>
  <si>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</si>
  <si>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</si>
  <si>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</si>
  <si>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</si>
  <si>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</si>
  <si>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</si>
  <si>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</si>
  <si>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</si>
  <si>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</si>
  <si>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</si>
  <si>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</si>
  <si>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</si>
  <si>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</si>
  <si>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</si>
  <si>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</si>
  <si>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</si>
  <si>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</si>
  <si>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</si>
  <si>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</si>
  <si>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</si>
  <si>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</si>
  <si>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</si>
  <si>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</si>
  <si>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</si>
  <si>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</si>
  <si>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</si>
  <si>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</si>
  <si>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</si>
  <si>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</si>
  <si>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</si>
  <si>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</si>
  <si>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</si>
  <si>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</si>
  <si>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</si>
  <si>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</si>
  <si>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</si>
  <si>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</si>
  <si>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</si>
  <si>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</si>
  <si>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</si>
  <si>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</si>
  <si>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</si>
  <si>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</si>
  <si>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</si>
  <si>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</si>
  <si>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Cost of Goods Sold</t>
  </si>
  <si>
    <t>Revenue</t>
  </si>
  <si>
    <t xml:space="preserve">Operating expenses </t>
  </si>
  <si>
    <t>Gross Profit</t>
  </si>
  <si>
    <t>EBITDA</t>
  </si>
  <si>
    <t>EBT</t>
  </si>
  <si>
    <t xml:space="preserve">Net Income </t>
  </si>
  <si>
    <t>$ in millions</t>
  </si>
  <si>
    <t>EBIT</t>
  </si>
  <si>
    <t>P&amp;L</t>
  </si>
  <si>
    <t>Var %  14-15</t>
  </si>
  <si>
    <t>Var %  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</si>
</sst>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;[Red]\-#,##0.0"/>
  </numFmts>
  <fonts count="8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ck">
        <color auto="1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7" fillId="2" borderId="1"/>
    <xf numFmtId="0" fontId="6" fillId="2" borderId="2"/>
    <xf numFmtId="0" fontId="6" fillId="2" borderId="3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7" fillId="2" borderId="0" xfId="0" applyFont="1" applyFill="1"/>
    <xf numFmtId="0" fontId="7" fillId="2" borderId="1" xfId="2"/>
    <xf numFmtId="0" fontId="6" fillId="2" borderId="2" xfId="3"/>
    <xf numFmtId="0" fontId="6" fillId="2" borderId="3" xfId="4"/>
    <xf numFmtId="9" fontId="6" fillId="2" borderId="2" xfId="1" applyFont="1" applyFill="1" applyBorder="1"/>
    <xf numFmtId="9" fontId="6" fillId="2" borderId="3" xfId="1" applyFont="1" applyFill="1" applyBorder="1"/>
    <xf numFmtId="0" fontId="7" fillId="2" borderId="1" xfId="2" applyFont="1"/>
    <xf numFmtId="0" fontId="7" fillId="2" borderId="1" xfId="2" applyFont="1" applyAlignment="1">
      <alignment horizontal="right" wrapText="1"/>
    </xf>
    <xf numFmtId="165" fontId="4" fillId="2" borderId="0" xfId="0" applyNumberFormat="1" applyFont="1" applyFill="1"/>
    <xf numFmtId="9" fontId="4" fillId="2" borderId="0" xfId="1" applyFont="1" applyFill="1"/>
    <xf numFmtId="165" fontId="6" fillId="2" borderId="2" xfId="3" applyNumberFormat="1" applyFont="1"/>
    <xf numFmtId="165" fontId="6" fillId="2" borderId="3" xfId="4" applyNumberFormat="1" applyFont="1"/>
  </cellXfs>
  <cellStyles count="5">
    <cellStyle name="Header" xfId="2" xr:uid="{32E9C3F6-EE2D-41CF-A818-E0D055565EAA}"/>
    <cellStyle name="Normal" xfId="0" builtinId="0"/>
    <cellStyle name="Percent" xfId="1" builtinId="5"/>
    <cellStyle name="Sub Total" xfId="3" xr:uid="{B9BCCDED-B7E7-4F0E-B2BD-8C41E66D2D6F}"/>
    <cellStyle name="Total Formating" xfId="4" xr:uid="{0CB0C572-34EB-47E7-A75A-07F503A48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workbookViewId="0">
      <selection activeCell="A4" sqref="A4"/>
    </sheetView>
  </sheetViews>
  <sheetFormatPr defaultRowHeight="14.5" x14ac:dyDescent="0.35"/>
  <cols>
    <col min="2" max="2" width="14.54296875" customWidth="1"/>
    <col min="3" max="3" width="38.1796875" customWidth="1"/>
  </cols>
  <sheetData>
    <row r="3" spans="2:4" x14ac:dyDescent="0.35">
      <c r="B3" t="s">
        <v>5</v>
      </c>
      <c r="C3" t="s">
        <v>0</v>
      </c>
      <c r="D3" s="5" t="s">
        <v>1</v>
      </c>
    </row>
    <row r="4" spans="2:4" x14ac:dyDescent="0.35">
      <c r="B4" s="4" t="s">
        <v>14</v>
      </c>
      <c r="C4" s="1" t="s">
        <v>2</v>
      </c>
      <c r="D4" s="5">
        <v>72</v>
      </c>
    </row>
    <row r="5" spans="2:4" x14ac:dyDescent="0.35">
      <c r="B5" s="4" t="s">
        <v>14</v>
      </c>
      <c r="C5" s="1" t="s">
        <v>7</v>
      </c>
      <c r="D5" s="5">
        <v>47</v>
      </c>
    </row>
    <row r="6" spans="2:4" x14ac:dyDescent="0.35">
      <c r="B6" s="4" t="s">
        <v>14</v>
      </c>
      <c r="C6" s="1" t="s">
        <v>4</v>
      </c>
      <c r="D6" s="5">
        <v>37</v>
      </c>
    </row>
    <row r="7" spans="2:4" x14ac:dyDescent="0.35">
      <c r="B7" s="4" t="s">
        <v>14</v>
      </c>
      <c r="C7" s="1" t="s">
        <v>9</v>
      </c>
      <c r="D7" s="5">
        <v>20</v>
      </c>
    </row>
    <row r="8" spans="2:4" x14ac:dyDescent="0.35">
      <c r="B8" s="4" t="s">
        <v>14</v>
      </c>
      <c r="C8" s="1" t="s">
        <v>3</v>
      </c>
      <c r="D8" s="5">
        <v>36</v>
      </c>
    </row>
    <row r="9" spans="2:4" x14ac:dyDescent="0.35">
      <c r="B9" s="4" t="s">
        <v>14</v>
      </c>
      <c r="C9" s="1" t="s">
        <v>10</v>
      </c>
      <c r="D9" s="5">
        <v>17</v>
      </c>
    </row>
    <row r="10" spans="2:4" x14ac:dyDescent="0.35">
      <c r="B10" s="4" t="s">
        <v>14</v>
      </c>
      <c r="C10" s="1" t="s">
        <v>6</v>
      </c>
      <c r="D10" s="5">
        <v>57</v>
      </c>
    </row>
    <row r="11" spans="2:4" x14ac:dyDescent="0.35">
      <c r="B11" s="4" t="s">
        <v>14</v>
      </c>
      <c r="C11" s="1" t="s">
        <v>11</v>
      </c>
      <c r="D11" s="5">
        <v>32</v>
      </c>
    </row>
    <row r="12" spans="2:4" x14ac:dyDescent="0.35">
      <c r="B12" s="4" t="s">
        <v>14</v>
      </c>
      <c r="C12" s="1" t="s">
        <v>8</v>
      </c>
      <c r="D12" s="5">
        <v>95.399999999999991</v>
      </c>
    </row>
    <row r="13" spans="2:4" x14ac:dyDescent="0.35">
      <c r="B13" s="4" t="s">
        <v>14</v>
      </c>
      <c r="C13" s="1" t="s">
        <v>12</v>
      </c>
      <c r="D13" s="5">
        <v>2</v>
      </c>
    </row>
    <row r="14" spans="2:4" x14ac:dyDescent="0.35">
      <c r="B14" s="4" t="s">
        <v>14</v>
      </c>
      <c r="C14" s="1" t="s">
        <v>50</v>
      </c>
      <c r="D14" s="5">
        <v>5</v>
      </c>
    </row>
    <row r="15" spans="2:4" x14ac:dyDescent="0.35">
      <c r="B15" s="4" t="s">
        <v>14</v>
      </c>
      <c r="C15" s="1" t="s">
        <v>51</v>
      </c>
      <c r="D15" s="6">
        <v>17.29</v>
      </c>
    </row>
    <row r="16" spans="2:4" x14ac:dyDescent="0.35">
      <c r="B16" s="4" t="s">
        <v>15</v>
      </c>
      <c r="C16" s="1" t="s">
        <v>2</v>
      </c>
      <c r="D16" s="5">
        <v>75</v>
      </c>
    </row>
    <row r="17" spans="2:4" x14ac:dyDescent="0.35">
      <c r="B17" s="4" t="s">
        <v>15</v>
      </c>
      <c r="C17" s="1" t="s">
        <v>7</v>
      </c>
      <c r="D17" s="5">
        <v>55</v>
      </c>
    </row>
    <row r="18" spans="2:4" x14ac:dyDescent="0.35">
      <c r="B18" s="4" t="s">
        <v>15</v>
      </c>
      <c r="C18" s="1" t="s">
        <v>4</v>
      </c>
      <c r="D18" s="5">
        <v>26</v>
      </c>
    </row>
    <row r="19" spans="2:4" x14ac:dyDescent="0.35">
      <c r="B19" s="4" t="s">
        <v>15</v>
      </c>
      <c r="C19" s="1" t="s">
        <v>9</v>
      </c>
      <c r="D19" s="5">
        <v>18</v>
      </c>
    </row>
    <row r="20" spans="2:4" x14ac:dyDescent="0.35">
      <c r="B20" s="4" t="s">
        <v>15</v>
      </c>
      <c r="C20" s="1" t="s">
        <v>3</v>
      </c>
      <c r="D20" s="5">
        <v>42</v>
      </c>
    </row>
    <row r="21" spans="2:4" x14ac:dyDescent="0.35">
      <c r="B21" s="4" t="s">
        <v>15</v>
      </c>
      <c r="C21" s="1" t="s">
        <v>10</v>
      </c>
      <c r="D21" s="5">
        <v>18</v>
      </c>
    </row>
    <row r="22" spans="2:4" x14ac:dyDescent="0.35">
      <c r="B22" s="4" t="s">
        <v>15</v>
      </c>
      <c r="C22" s="1" t="s">
        <v>6</v>
      </c>
      <c r="D22" s="5">
        <v>54</v>
      </c>
    </row>
    <row r="23" spans="2:4" x14ac:dyDescent="0.35">
      <c r="B23" s="4" t="s">
        <v>15</v>
      </c>
      <c r="C23" s="1" t="s">
        <v>11</v>
      </c>
      <c r="D23" s="5">
        <v>33</v>
      </c>
    </row>
    <row r="24" spans="2:4" x14ac:dyDescent="0.35">
      <c r="B24" s="4" t="s">
        <v>15</v>
      </c>
      <c r="C24" s="1" t="s">
        <v>8</v>
      </c>
      <c r="D24" s="5">
        <v>96.3</v>
      </c>
    </row>
    <row r="25" spans="2:4" x14ac:dyDescent="0.35">
      <c r="B25" s="4" t="s">
        <v>15</v>
      </c>
      <c r="C25" s="1" t="s">
        <v>12</v>
      </c>
      <c r="D25" s="5">
        <v>2</v>
      </c>
    </row>
    <row r="26" spans="2:4" x14ac:dyDescent="0.35">
      <c r="B26" s="4" t="s">
        <v>15</v>
      </c>
      <c r="C26" s="1" t="s">
        <v>50</v>
      </c>
      <c r="D26" s="5">
        <v>5</v>
      </c>
    </row>
    <row r="27" spans="2:4" x14ac:dyDescent="0.35">
      <c r="B27" s="4" t="s">
        <v>15</v>
      </c>
      <c r="C27" s="1" t="s">
        <v>51</v>
      </c>
      <c r="D27" s="6">
        <v>17</v>
      </c>
    </row>
    <row r="28" spans="2:4" x14ac:dyDescent="0.35">
      <c r="B28" s="4" t="s">
        <v>16</v>
      </c>
      <c r="C28" s="1" t="s">
        <v>2</v>
      </c>
      <c r="D28" s="5">
        <v>69</v>
      </c>
    </row>
    <row r="29" spans="2:4" x14ac:dyDescent="0.35">
      <c r="B29" s="4" t="s">
        <v>16</v>
      </c>
      <c r="C29" s="1" t="s">
        <v>7</v>
      </c>
      <c r="D29" s="5">
        <v>58</v>
      </c>
    </row>
    <row r="30" spans="2:4" x14ac:dyDescent="0.35">
      <c r="B30" s="4" t="s">
        <v>16</v>
      </c>
      <c r="C30" s="1" t="s">
        <v>4</v>
      </c>
      <c r="D30" s="5">
        <v>32</v>
      </c>
    </row>
    <row r="31" spans="2:4" x14ac:dyDescent="0.35">
      <c r="B31" s="4" t="s">
        <v>16</v>
      </c>
      <c r="C31" s="1" t="s">
        <v>9</v>
      </c>
      <c r="D31" s="5">
        <v>12</v>
      </c>
    </row>
    <row r="32" spans="2:4" x14ac:dyDescent="0.35">
      <c r="B32" s="4" t="s">
        <v>16</v>
      </c>
      <c r="C32" s="1" t="s">
        <v>3</v>
      </c>
      <c r="D32" s="5">
        <v>41</v>
      </c>
    </row>
    <row r="33" spans="2:4" x14ac:dyDescent="0.35">
      <c r="B33" s="4" t="s">
        <v>16</v>
      </c>
      <c r="C33" s="1" t="s">
        <v>10</v>
      </c>
      <c r="D33" s="5">
        <v>11</v>
      </c>
    </row>
    <row r="34" spans="2:4" x14ac:dyDescent="0.35">
      <c r="B34" s="4" t="s">
        <v>16</v>
      </c>
      <c r="C34" s="1" t="s">
        <v>6</v>
      </c>
      <c r="D34" s="5">
        <v>64</v>
      </c>
    </row>
    <row r="35" spans="2:4" x14ac:dyDescent="0.35">
      <c r="B35" s="4" t="s">
        <v>16</v>
      </c>
      <c r="C35" s="1" t="s">
        <v>11</v>
      </c>
      <c r="D35" s="5">
        <v>35</v>
      </c>
    </row>
    <row r="36" spans="2:4" x14ac:dyDescent="0.35">
      <c r="B36" s="4" t="s">
        <v>16</v>
      </c>
      <c r="C36" s="1" t="s">
        <v>8</v>
      </c>
      <c r="D36" s="5">
        <v>96.6</v>
      </c>
    </row>
    <row r="37" spans="2:4" x14ac:dyDescent="0.35">
      <c r="B37" s="4" t="s">
        <v>16</v>
      </c>
      <c r="C37" s="1" t="s">
        <v>12</v>
      </c>
      <c r="D37" s="5">
        <v>3</v>
      </c>
    </row>
    <row r="38" spans="2:4" x14ac:dyDescent="0.35">
      <c r="B38" s="4" t="s">
        <v>16</v>
      </c>
      <c r="C38" s="1" t="s">
        <v>50</v>
      </c>
      <c r="D38" s="5">
        <v>5</v>
      </c>
    </row>
    <row r="39" spans="2:4" x14ac:dyDescent="0.35">
      <c r="B39" s="4" t="s">
        <v>16</v>
      </c>
      <c r="C39" s="1" t="s">
        <v>51</v>
      </c>
      <c r="D39" s="6">
        <v>17.850000000000001</v>
      </c>
    </row>
    <row r="40" spans="2:4" x14ac:dyDescent="0.35">
      <c r="B40" s="4" t="s">
        <v>17</v>
      </c>
      <c r="C40" s="1" t="s">
        <v>2</v>
      </c>
      <c r="D40" s="5">
        <v>68</v>
      </c>
    </row>
    <row r="41" spans="2:4" x14ac:dyDescent="0.35">
      <c r="B41" s="4" t="s">
        <v>17</v>
      </c>
      <c r="C41" s="1" t="s">
        <v>7</v>
      </c>
      <c r="D41" s="5">
        <v>50</v>
      </c>
    </row>
    <row r="42" spans="2:4" x14ac:dyDescent="0.35">
      <c r="B42" s="4" t="s">
        <v>17</v>
      </c>
      <c r="C42" s="1" t="s">
        <v>4</v>
      </c>
      <c r="D42" s="5">
        <v>29</v>
      </c>
    </row>
    <row r="43" spans="2:4" x14ac:dyDescent="0.35">
      <c r="B43" s="4" t="s">
        <v>17</v>
      </c>
      <c r="C43" s="1" t="s">
        <v>9</v>
      </c>
      <c r="D43" s="5">
        <v>19</v>
      </c>
    </row>
    <row r="44" spans="2:4" x14ac:dyDescent="0.35">
      <c r="B44" s="4" t="s">
        <v>17</v>
      </c>
      <c r="C44" s="1" t="s">
        <v>3</v>
      </c>
      <c r="D44" s="5">
        <v>38</v>
      </c>
    </row>
    <row r="45" spans="2:4" x14ac:dyDescent="0.35">
      <c r="B45" s="4" t="s">
        <v>17</v>
      </c>
      <c r="C45" s="1" t="s">
        <v>10</v>
      </c>
      <c r="D45" s="5">
        <v>15</v>
      </c>
    </row>
    <row r="46" spans="2:4" x14ac:dyDescent="0.35">
      <c r="B46" s="4" t="s">
        <v>17</v>
      </c>
      <c r="C46" s="1" t="s">
        <v>6</v>
      </c>
      <c r="D46" s="5">
        <v>60</v>
      </c>
    </row>
    <row r="47" spans="2:4" x14ac:dyDescent="0.35">
      <c r="B47" s="4" t="s">
        <v>17</v>
      </c>
      <c r="C47" s="1" t="s">
        <v>11</v>
      </c>
      <c r="D47" s="5">
        <v>32</v>
      </c>
    </row>
    <row r="48" spans="2:4" x14ac:dyDescent="0.35">
      <c r="B48" s="4" t="s">
        <v>17</v>
      </c>
      <c r="C48" s="1" t="s">
        <v>8</v>
      </c>
      <c r="D48" s="5">
        <v>99.52</v>
      </c>
    </row>
    <row r="49" spans="2:4" x14ac:dyDescent="0.35">
      <c r="B49" s="4" t="s">
        <v>17</v>
      </c>
      <c r="C49" s="1" t="s">
        <v>12</v>
      </c>
      <c r="D49" s="5">
        <v>2</v>
      </c>
    </row>
    <row r="50" spans="2:4" x14ac:dyDescent="0.35">
      <c r="B50" s="4" t="s">
        <v>17</v>
      </c>
      <c r="C50" s="1" t="s">
        <v>50</v>
      </c>
      <c r="D50" s="5">
        <v>5</v>
      </c>
    </row>
    <row r="51" spans="2:4" x14ac:dyDescent="0.35">
      <c r="B51" s="4" t="s">
        <v>17</v>
      </c>
      <c r="C51" s="1" t="s">
        <v>51</v>
      </c>
      <c r="D51" s="6">
        <v>16.89</v>
      </c>
    </row>
    <row r="52" spans="2:4" x14ac:dyDescent="0.35">
      <c r="B52" s="4" t="s">
        <v>18</v>
      </c>
      <c r="C52" s="1" t="s">
        <v>2</v>
      </c>
      <c r="D52" s="5">
        <v>68</v>
      </c>
    </row>
    <row r="53" spans="2:4" x14ac:dyDescent="0.35">
      <c r="B53" s="4" t="s">
        <v>18</v>
      </c>
      <c r="C53" s="1" t="s">
        <v>7</v>
      </c>
      <c r="D53" s="5">
        <v>54</v>
      </c>
    </row>
    <row r="54" spans="2:4" x14ac:dyDescent="0.35">
      <c r="B54" s="4" t="s">
        <v>18</v>
      </c>
      <c r="C54" s="1" t="s">
        <v>4</v>
      </c>
      <c r="D54" s="5">
        <v>32</v>
      </c>
    </row>
    <row r="55" spans="2:4" x14ac:dyDescent="0.35">
      <c r="B55" s="4" t="s">
        <v>18</v>
      </c>
      <c r="C55" s="1" t="s">
        <v>9</v>
      </c>
      <c r="D55" s="5">
        <v>19</v>
      </c>
    </row>
    <row r="56" spans="2:4" x14ac:dyDescent="0.35">
      <c r="B56" s="4" t="s">
        <v>18</v>
      </c>
      <c r="C56" s="1" t="s">
        <v>3</v>
      </c>
      <c r="D56" s="5">
        <v>50</v>
      </c>
    </row>
    <row r="57" spans="2:4" x14ac:dyDescent="0.35">
      <c r="B57" s="4" t="s">
        <v>18</v>
      </c>
      <c r="C57" s="1" t="s">
        <v>10</v>
      </c>
      <c r="D57" s="5">
        <v>14</v>
      </c>
    </row>
    <row r="58" spans="2:4" x14ac:dyDescent="0.35">
      <c r="B58" s="4" t="s">
        <v>18</v>
      </c>
      <c r="C58" s="1" t="s">
        <v>6</v>
      </c>
      <c r="D58" s="5">
        <v>64</v>
      </c>
    </row>
    <row r="59" spans="2:4" x14ac:dyDescent="0.35">
      <c r="B59" s="4" t="s">
        <v>18</v>
      </c>
      <c r="C59" s="1" t="s">
        <v>11</v>
      </c>
      <c r="D59" s="5">
        <v>30</v>
      </c>
    </row>
    <row r="60" spans="2:4" x14ac:dyDescent="0.35">
      <c r="B60" s="4" t="s">
        <v>18</v>
      </c>
      <c r="C60" s="1" t="s">
        <v>8</v>
      </c>
      <c r="D60" s="5">
        <v>105.92</v>
      </c>
    </row>
    <row r="61" spans="2:4" x14ac:dyDescent="0.35">
      <c r="B61" s="4" t="s">
        <v>18</v>
      </c>
      <c r="C61" s="1" t="s">
        <v>12</v>
      </c>
      <c r="D61" s="5">
        <v>3</v>
      </c>
    </row>
    <row r="62" spans="2:4" x14ac:dyDescent="0.35">
      <c r="B62" s="4" t="s">
        <v>18</v>
      </c>
      <c r="C62" s="1" t="s">
        <v>50</v>
      </c>
      <c r="D62" s="5">
        <v>5</v>
      </c>
    </row>
    <row r="63" spans="2:4" x14ac:dyDescent="0.35">
      <c r="B63" s="4" t="s">
        <v>18</v>
      </c>
      <c r="C63" s="1" t="s">
        <v>51</v>
      </c>
      <c r="D63" s="6">
        <v>18.579999999999998</v>
      </c>
    </row>
    <row r="64" spans="2:4" x14ac:dyDescent="0.35">
      <c r="B64" s="4" t="s">
        <v>19</v>
      </c>
      <c r="C64" s="1" t="s">
        <v>2</v>
      </c>
      <c r="D64" s="5">
        <v>56</v>
      </c>
    </row>
    <row r="65" spans="2:4" x14ac:dyDescent="0.35">
      <c r="B65" s="4" t="s">
        <v>19</v>
      </c>
      <c r="C65" s="1" t="s">
        <v>7</v>
      </c>
      <c r="D65" s="5">
        <v>49</v>
      </c>
    </row>
    <row r="66" spans="2:4" x14ac:dyDescent="0.35">
      <c r="B66" s="4" t="s">
        <v>19</v>
      </c>
      <c r="C66" s="1" t="s">
        <v>4</v>
      </c>
      <c r="D66" s="5">
        <v>31</v>
      </c>
    </row>
    <row r="67" spans="2:4" x14ac:dyDescent="0.35">
      <c r="B67" s="4" t="s">
        <v>19</v>
      </c>
      <c r="C67" s="1" t="s">
        <v>9</v>
      </c>
      <c r="D67" s="5">
        <v>14</v>
      </c>
    </row>
    <row r="68" spans="2:4" x14ac:dyDescent="0.35">
      <c r="B68" s="4" t="s">
        <v>19</v>
      </c>
      <c r="C68" s="1" t="s">
        <v>3</v>
      </c>
      <c r="D68" s="5">
        <v>36</v>
      </c>
    </row>
    <row r="69" spans="2:4" x14ac:dyDescent="0.35">
      <c r="B69" s="4" t="s">
        <v>19</v>
      </c>
      <c r="C69" s="1" t="s">
        <v>10</v>
      </c>
      <c r="D69" s="5">
        <v>15</v>
      </c>
    </row>
    <row r="70" spans="2:4" x14ac:dyDescent="0.35">
      <c r="B70" s="4" t="s">
        <v>19</v>
      </c>
      <c r="C70" s="1" t="s">
        <v>6</v>
      </c>
      <c r="D70" s="5">
        <v>57</v>
      </c>
    </row>
    <row r="71" spans="2:4" x14ac:dyDescent="0.35">
      <c r="B71" s="4" t="s">
        <v>19</v>
      </c>
      <c r="C71" s="1" t="s">
        <v>11</v>
      </c>
      <c r="D71" s="5">
        <v>33</v>
      </c>
    </row>
    <row r="72" spans="2:4" x14ac:dyDescent="0.35">
      <c r="B72" s="4" t="s">
        <v>19</v>
      </c>
      <c r="C72" s="1" t="s">
        <v>8</v>
      </c>
      <c r="D72" s="5">
        <v>93.12</v>
      </c>
    </row>
    <row r="73" spans="2:4" x14ac:dyDescent="0.35">
      <c r="B73" s="4" t="s">
        <v>19</v>
      </c>
      <c r="C73" s="1" t="s">
        <v>12</v>
      </c>
      <c r="D73" s="5">
        <v>3</v>
      </c>
    </row>
    <row r="74" spans="2:4" x14ac:dyDescent="0.35">
      <c r="B74" s="4" t="s">
        <v>19</v>
      </c>
      <c r="C74" s="1" t="s">
        <v>50</v>
      </c>
      <c r="D74" s="5">
        <v>4</v>
      </c>
    </row>
    <row r="75" spans="2:4" x14ac:dyDescent="0.35">
      <c r="B75" s="4" t="s">
        <v>19</v>
      </c>
      <c r="C75" s="1" t="s">
        <v>51</v>
      </c>
      <c r="D75" s="6">
        <v>15.59</v>
      </c>
    </row>
    <row r="76" spans="2:4" x14ac:dyDescent="0.35">
      <c r="B76" s="4" t="s">
        <v>20</v>
      </c>
      <c r="C76" s="1" t="s">
        <v>2</v>
      </c>
      <c r="D76" s="5">
        <v>66</v>
      </c>
    </row>
    <row r="77" spans="2:4" x14ac:dyDescent="0.35">
      <c r="B77" s="4" t="s">
        <v>20</v>
      </c>
      <c r="C77" s="1" t="s">
        <v>7</v>
      </c>
      <c r="D77" s="5">
        <v>55</v>
      </c>
    </row>
    <row r="78" spans="2:4" x14ac:dyDescent="0.35">
      <c r="B78" s="4" t="s">
        <v>20</v>
      </c>
      <c r="C78" s="1" t="s">
        <v>4</v>
      </c>
      <c r="D78" s="5">
        <v>38</v>
      </c>
    </row>
    <row r="79" spans="2:4" x14ac:dyDescent="0.35">
      <c r="B79" s="4" t="s">
        <v>20</v>
      </c>
      <c r="C79" s="1" t="s">
        <v>9</v>
      </c>
      <c r="D79" s="5">
        <v>17</v>
      </c>
    </row>
    <row r="80" spans="2:4" x14ac:dyDescent="0.35">
      <c r="B80" s="4" t="s">
        <v>20</v>
      </c>
      <c r="C80" s="1" t="s">
        <v>3</v>
      </c>
      <c r="D80" s="5">
        <v>43</v>
      </c>
    </row>
    <row r="81" spans="2:4" x14ac:dyDescent="0.35">
      <c r="B81" s="4" t="s">
        <v>20</v>
      </c>
      <c r="C81" s="1" t="s">
        <v>10</v>
      </c>
      <c r="D81" s="5">
        <v>17</v>
      </c>
    </row>
    <row r="82" spans="2:4" x14ac:dyDescent="0.35">
      <c r="B82" s="4" t="s">
        <v>20</v>
      </c>
      <c r="C82" s="1" t="s">
        <v>6</v>
      </c>
      <c r="D82" s="5">
        <v>68</v>
      </c>
    </row>
    <row r="83" spans="2:4" x14ac:dyDescent="0.35">
      <c r="B83" s="4" t="s">
        <v>20</v>
      </c>
      <c r="C83" s="1" t="s">
        <v>11</v>
      </c>
      <c r="D83" s="5">
        <v>33</v>
      </c>
    </row>
    <row r="84" spans="2:4" x14ac:dyDescent="0.35">
      <c r="B84" s="4" t="s">
        <v>20</v>
      </c>
      <c r="C84" s="1" t="s">
        <v>8</v>
      </c>
      <c r="D84" s="5">
        <v>114.58000000000001</v>
      </c>
    </row>
    <row r="85" spans="2:4" x14ac:dyDescent="0.35">
      <c r="B85" s="4" t="s">
        <v>20</v>
      </c>
      <c r="C85" s="1" t="s">
        <v>12</v>
      </c>
      <c r="D85" s="5">
        <v>3</v>
      </c>
    </row>
    <row r="86" spans="2:4" x14ac:dyDescent="0.35">
      <c r="B86" s="4" t="s">
        <v>20</v>
      </c>
      <c r="C86" s="1" t="s">
        <v>50</v>
      </c>
      <c r="D86" s="5">
        <v>4</v>
      </c>
    </row>
    <row r="87" spans="2:4" x14ac:dyDescent="0.35">
      <c r="B87" s="4" t="s">
        <v>20</v>
      </c>
      <c r="C87" s="1" t="s">
        <v>51</v>
      </c>
      <c r="D87" s="6">
        <v>18.61</v>
      </c>
    </row>
    <row r="88" spans="2:4" x14ac:dyDescent="0.35">
      <c r="B88" s="4" t="s">
        <v>21</v>
      </c>
      <c r="C88" s="1" t="s">
        <v>2</v>
      </c>
      <c r="D88" s="5">
        <v>57</v>
      </c>
    </row>
    <row r="89" spans="2:4" x14ac:dyDescent="0.35">
      <c r="B89" s="4" t="s">
        <v>21</v>
      </c>
      <c r="C89" s="1" t="s">
        <v>7</v>
      </c>
      <c r="D89" s="5">
        <v>52</v>
      </c>
    </row>
    <row r="90" spans="2:4" x14ac:dyDescent="0.35">
      <c r="B90" s="4" t="s">
        <v>21</v>
      </c>
      <c r="C90" s="1" t="s">
        <v>4</v>
      </c>
      <c r="D90" s="5">
        <v>35</v>
      </c>
    </row>
    <row r="91" spans="2:4" x14ac:dyDescent="0.35">
      <c r="B91" s="4" t="s">
        <v>21</v>
      </c>
      <c r="C91" s="1" t="s">
        <v>9</v>
      </c>
      <c r="D91" s="5">
        <v>19</v>
      </c>
    </row>
    <row r="92" spans="2:4" x14ac:dyDescent="0.35">
      <c r="B92" s="4" t="s">
        <v>21</v>
      </c>
      <c r="C92" s="1" t="s">
        <v>3</v>
      </c>
      <c r="D92" s="5">
        <v>38</v>
      </c>
    </row>
    <row r="93" spans="2:4" x14ac:dyDescent="0.35">
      <c r="B93" s="4" t="s">
        <v>21</v>
      </c>
      <c r="C93" s="1" t="s">
        <v>10</v>
      </c>
      <c r="D93" s="5">
        <v>16</v>
      </c>
    </row>
    <row r="94" spans="2:4" x14ac:dyDescent="0.35">
      <c r="B94" s="4" t="s">
        <v>21</v>
      </c>
      <c r="C94" s="1" t="s">
        <v>6</v>
      </c>
      <c r="D94" s="5">
        <v>57</v>
      </c>
    </row>
    <row r="95" spans="2:4" x14ac:dyDescent="0.35">
      <c r="B95" s="4" t="s">
        <v>21</v>
      </c>
      <c r="C95" s="1" t="s">
        <v>11</v>
      </c>
      <c r="D95" s="5">
        <v>33</v>
      </c>
    </row>
    <row r="96" spans="2:4" x14ac:dyDescent="0.35">
      <c r="B96" s="4" t="s">
        <v>21</v>
      </c>
      <c r="C96" s="1" t="s">
        <v>8</v>
      </c>
      <c r="D96" s="5">
        <v>104.38000000000001</v>
      </c>
    </row>
    <row r="97" spans="2:4" x14ac:dyDescent="0.35">
      <c r="B97" s="4" t="s">
        <v>21</v>
      </c>
      <c r="C97" s="1" t="s">
        <v>12</v>
      </c>
      <c r="D97" s="5">
        <v>3</v>
      </c>
    </row>
    <row r="98" spans="2:4" x14ac:dyDescent="0.35">
      <c r="B98" s="4" t="s">
        <v>21</v>
      </c>
      <c r="C98" s="1" t="s">
        <v>50</v>
      </c>
      <c r="D98" s="5">
        <v>5</v>
      </c>
    </row>
    <row r="99" spans="2:4" x14ac:dyDescent="0.35">
      <c r="B99" s="4" t="s">
        <v>21</v>
      </c>
      <c r="C99" s="1" t="s">
        <v>51</v>
      </c>
      <c r="D99" s="6">
        <v>16.13</v>
      </c>
    </row>
    <row r="100" spans="2:4" x14ac:dyDescent="0.35">
      <c r="B100" s="4" t="s">
        <v>22</v>
      </c>
      <c r="C100" s="1" t="s">
        <v>2</v>
      </c>
      <c r="D100" s="5">
        <v>60</v>
      </c>
    </row>
    <row r="101" spans="2:4" x14ac:dyDescent="0.35">
      <c r="B101" s="4" t="s">
        <v>22</v>
      </c>
      <c r="C101" s="1" t="s">
        <v>7</v>
      </c>
      <c r="D101" s="5">
        <v>57</v>
      </c>
    </row>
    <row r="102" spans="2:4" x14ac:dyDescent="0.35">
      <c r="B102" s="4" t="s">
        <v>22</v>
      </c>
      <c r="C102" s="1" t="s">
        <v>4</v>
      </c>
      <c r="D102" s="5">
        <v>28</v>
      </c>
    </row>
    <row r="103" spans="2:4" x14ac:dyDescent="0.35">
      <c r="B103" s="4" t="s">
        <v>22</v>
      </c>
      <c r="C103" s="1" t="s">
        <v>9</v>
      </c>
      <c r="D103" s="5">
        <v>11</v>
      </c>
    </row>
    <row r="104" spans="2:4" x14ac:dyDescent="0.35">
      <c r="B104" s="4" t="s">
        <v>22</v>
      </c>
      <c r="C104" s="1" t="s">
        <v>3</v>
      </c>
      <c r="D104" s="5">
        <v>44</v>
      </c>
    </row>
    <row r="105" spans="2:4" x14ac:dyDescent="0.35">
      <c r="B105" s="4" t="s">
        <v>22</v>
      </c>
      <c r="C105" s="1" t="s">
        <v>10</v>
      </c>
      <c r="D105" s="5">
        <v>12</v>
      </c>
    </row>
    <row r="106" spans="2:4" x14ac:dyDescent="0.35">
      <c r="B106" s="4" t="s">
        <v>22</v>
      </c>
      <c r="C106" s="1" t="s">
        <v>6</v>
      </c>
      <c r="D106" s="5">
        <v>67</v>
      </c>
    </row>
    <row r="107" spans="2:4" x14ac:dyDescent="0.35">
      <c r="B107" s="4" t="s">
        <v>22</v>
      </c>
      <c r="C107" s="1" t="s">
        <v>11</v>
      </c>
      <c r="D107" s="5">
        <v>31</v>
      </c>
    </row>
    <row r="108" spans="2:4" x14ac:dyDescent="0.35">
      <c r="B108" s="4" t="s">
        <v>22</v>
      </c>
      <c r="C108" s="1" t="s">
        <v>8</v>
      </c>
      <c r="D108" s="5">
        <v>108.5</v>
      </c>
    </row>
    <row r="109" spans="2:4" x14ac:dyDescent="0.35">
      <c r="B109" s="4" t="s">
        <v>22</v>
      </c>
      <c r="C109" s="1" t="s">
        <v>12</v>
      </c>
      <c r="D109" s="5">
        <v>2</v>
      </c>
    </row>
    <row r="110" spans="2:4" x14ac:dyDescent="0.35">
      <c r="B110" s="4" t="s">
        <v>22</v>
      </c>
      <c r="C110" s="1" t="s">
        <v>50</v>
      </c>
      <c r="D110" s="5">
        <v>4</v>
      </c>
    </row>
    <row r="111" spans="2:4" x14ac:dyDescent="0.35">
      <c r="B111" s="4" t="s">
        <v>22</v>
      </c>
      <c r="C111" s="1" t="s">
        <v>51</v>
      </c>
      <c r="D111" s="6">
        <v>17.419999999999998</v>
      </c>
    </row>
    <row r="112" spans="2:4" x14ac:dyDescent="0.35">
      <c r="B112" s="4" t="s">
        <v>23</v>
      </c>
      <c r="C112" s="1" t="s">
        <v>2</v>
      </c>
      <c r="D112" s="5">
        <v>59</v>
      </c>
    </row>
    <row r="113" spans="2:4" x14ac:dyDescent="0.35">
      <c r="B113" s="4" t="s">
        <v>23</v>
      </c>
      <c r="C113" s="1" t="s">
        <v>7</v>
      </c>
      <c r="D113" s="5">
        <v>57</v>
      </c>
    </row>
    <row r="114" spans="2:4" x14ac:dyDescent="0.35">
      <c r="B114" s="4" t="s">
        <v>23</v>
      </c>
      <c r="C114" s="1" t="s">
        <v>4</v>
      </c>
      <c r="D114" s="5">
        <v>40</v>
      </c>
    </row>
    <row r="115" spans="2:4" x14ac:dyDescent="0.35">
      <c r="B115" s="4" t="s">
        <v>23</v>
      </c>
      <c r="C115" s="1" t="s">
        <v>9</v>
      </c>
      <c r="D115" s="5">
        <v>11</v>
      </c>
    </row>
    <row r="116" spans="2:4" x14ac:dyDescent="0.35">
      <c r="B116" s="4" t="s">
        <v>23</v>
      </c>
      <c r="C116" s="1" t="s">
        <v>3</v>
      </c>
      <c r="D116" s="5">
        <v>35</v>
      </c>
    </row>
    <row r="117" spans="2:4" x14ac:dyDescent="0.35">
      <c r="B117" s="4" t="s">
        <v>23</v>
      </c>
      <c r="C117" s="1" t="s">
        <v>10</v>
      </c>
      <c r="D117" s="5">
        <v>15</v>
      </c>
    </row>
    <row r="118" spans="2:4" x14ac:dyDescent="0.35">
      <c r="B118" s="4" t="s">
        <v>23</v>
      </c>
      <c r="C118" s="1" t="s">
        <v>6</v>
      </c>
      <c r="D118" s="5">
        <v>61</v>
      </c>
    </row>
    <row r="119" spans="2:4" x14ac:dyDescent="0.35">
      <c r="B119" s="4" t="s">
        <v>23</v>
      </c>
      <c r="C119" s="1" t="s">
        <v>11</v>
      </c>
      <c r="D119" s="5">
        <v>35</v>
      </c>
    </row>
    <row r="120" spans="2:4" x14ac:dyDescent="0.35">
      <c r="B120" s="4" t="s">
        <v>23</v>
      </c>
      <c r="C120" s="1" t="s">
        <v>8</v>
      </c>
      <c r="D120" s="5">
        <v>97.03</v>
      </c>
    </row>
    <row r="121" spans="2:4" x14ac:dyDescent="0.35">
      <c r="B121" s="4" t="s">
        <v>23</v>
      </c>
      <c r="C121" s="1" t="s">
        <v>12</v>
      </c>
      <c r="D121" s="5">
        <v>3</v>
      </c>
    </row>
    <row r="122" spans="2:4" x14ac:dyDescent="0.35">
      <c r="B122" s="4" t="s">
        <v>23</v>
      </c>
      <c r="C122" s="1" t="s">
        <v>50</v>
      </c>
      <c r="D122" s="5">
        <v>4</v>
      </c>
    </row>
    <row r="123" spans="2:4" x14ac:dyDescent="0.35">
      <c r="B123" s="4" t="s">
        <v>23</v>
      </c>
      <c r="C123" s="1" t="s">
        <v>51</v>
      </c>
      <c r="D123" s="6">
        <v>16.77</v>
      </c>
    </row>
    <row r="124" spans="2:4" x14ac:dyDescent="0.35">
      <c r="B124" s="4" t="s">
        <v>24</v>
      </c>
      <c r="C124" s="1" t="s">
        <v>2</v>
      </c>
      <c r="D124" s="5">
        <v>69</v>
      </c>
    </row>
    <row r="125" spans="2:4" x14ac:dyDescent="0.35">
      <c r="B125" s="4" t="s">
        <v>24</v>
      </c>
      <c r="C125" s="1" t="s">
        <v>7</v>
      </c>
      <c r="D125" s="5">
        <v>45</v>
      </c>
    </row>
    <row r="126" spans="2:4" x14ac:dyDescent="0.35">
      <c r="B126" s="4" t="s">
        <v>24</v>
      </c>
      <c r="C126" s="1" t="s">
        <v>4</v>
      </c>
      <c r="D126" s="5">
        <v>25</v>
      </c>
    </row>
    <row r="127" spans="2:4" x14ac:dyDescent="0.35">
      <c r="B127" s="4" t="s">
        <v>24</v>
      </c>
      <c r="C127" s="1" t="s">
        <v>9</v>
      </c>
      <c r="D127" s="5">
        <v>17</v>
      </c>
    </row>
    <row r="128" spans="2:4" x14ac:dyDescent="0.35">
      <c r="B128" s="4" t="s">
        <v>24</v>
      </c>
      <c r="C128" s="1" t="s">
        <v>3</v>
      </c>
      <c r="D128" s="5">
        <v>45</v>
      </c>
    </row>
    <row r="129" spans="2:4" x14ac:dyDescent="0.35">
      <c r="B129" s="4" t="s">
        <v>24</v>
      </c>
      <c r="C129" s="1" t="s">
        <v>10</v>
      </c>
      <c r="D129" s="5">
        <v>10</v>
      </c>
    </row>
    <row r="130" spans="2:4" x14ac:dyDescent="0.35">
      <c r="B130" s="4" t="s">
        <v>24</v>
      </c>
      <c r="C130" s="1" t="s">
        <v>6</v>
      </c>
      <c r="D130" s="5">
        <v>63</v>
      </c>
    </row>
    <row r="131" spans="2:4" x14ac:dyDescent="0.35">
      <c r="B131" s="4" t="s">
        <v>24</v>
      </c>
      <c r="C131" s="1" t="s">
        <v>11</v>
      </c>
      <c r="D131" s="5">
        <v>31</v>
      </c>
    </row>
    <row r="132" spans="2:4" x14ac:dyDescent="0.35">
      <c r="B132" s="4" t="s">
        <v>24</v>
      </c>
      <c r="C132" s="1" t="s">
        <v>8</v>
      </c>
      <c r="D132" s="5">
        <v>97.600000000000009</v>
      </c>
    </row>
    <row r="133" spans="2:4" x14ac:dyDescent="0.35">
      <c r="B133" s="4" t="s">
        <v>24</v>
      </c>
      <c r="C133" s="1" t="s">
        <v>12</v>
      </c>
      <c r="D133" s="5">
        <v>2</v>
      </c>
    </row>
    <row r="134" spans="2:4" x14ac:dyDescent="0.35">
      <c r="B134" s="4" t="s">
        <v>24</v>
      </c>
      <c r="C134" s="1" t="s">
        <v>50</v>
      </c>
      <c r="D134" s="5">
        <v>5</v>
      </c>
    </row>
    <row r="135" spans="2:4" x14ac:dyDescent="0.35">
      <c r="B135" s="4" t="s">
        <v>24</v>
      </c>
      <c r="C135" s="1" t="s">
        <v>51</v>
      </c>
      <c r="D135" s="6">
        <v>17.62</v>
      </c>
    </row>
    <row r="136" spans="2:4" x14ac:dyDescent="0.35">
      <c r="B136" s="4" t="s">
        <v>25</v>
      </c>
      <c r="C136" s="1" t="s">
        <v>2</v>
      </c>
      <c r="D136" s="5">
        <v>74</v>
      </c>
    </row>
    <row r="137" spans="2:4" x14ac:dyDescent="0.35">
      <c r="B137" s="4" t="s">
        <v>25</v>
      </c>
      <c r="C137" s="1" t="s">
        <v>7</v>
      </c>
      <c r="D137" s="5">
        <v>55</v>
      </c>
    </row>
    <row r="138" spans="2:4" x14ac:dyDescent="0.35">
      <c r="B138" s="4" t="s">
        <v>25</v>
      </c>
      <c r="C138" s="1" t="s">
        <v>4</v>
      </c>
      <c r="D138" s="5">
        <v>31</v>
      </c>
    </row>
    <row r="139" spans="2:4" x14ac:dyDescent="0.35">
      <c r="B139" s="4" t="s">
        <v>25</v>
      </c>
      <c r="C139" s="1" t="s">
        <v>9</v>
      </c>
      <c r="D139" s="5">
        <v>19</v>
      </c>
    </row>
    <row r="140" spans="2:4" x14ac:dyDescent="0.35">
      <c r="B140" s="4" t="s">
        <v>25</v>
      </c>
      <c r="C140" s="1" t="s">
        <v>3</v>
      </c>
      <c r="D140" s="5">
        <v>42</v>
      </c>
    </row>
    <row r="141" spans="2:4" x14ac:dyDescent="0.35">
      <c r="B141" s="4" t="s">
        <v>25</v>
      </c>
      <c r="C141" s="1" t="s">
        <v>10</v>
      </c>
      <c r="D141" s="5">
        <v>19</v>
      </c>
    </row>
    <row r="142" spans="2:4" x14ac:dyDescent="0.35">
      <c r="B142" s="4" t="s">
        <v>25</v>
      </c>
      <c r="C142" s="1" t="s">
        <v>6</v>
      </c>
      <c r="D142" s="5">
        <v>59</v>
      </c>
    </row>
    <row r="143" spans="2:4" x14ac:dyDescent="0.35">
      <c r="B143" s="4" t="s">
        <v>25</v>
      </c>
      <c r="C143" s="1" t="s">
        <v>11</v>
      </c>
      <c r="D143" s="5">
        <v>34</v>
      </c>
    </row>
    <row r="144" spans="2:4" x14ac:dyDescent="0.35">
      <c r="B144" s="4" t="s">
        <v>25</v>
      </c>
      <c r="C144" s="1" t="s">
        <v>8</v>
      </c>
      <c r="D144" s="5">
        <v>103.23</v>
      </c>
    </row>
    <row r="145" spans="2:4" x14ac:dyDescent="0.35">
      <c r="B145" s="4" t="s">
        <v>25</v>
      </c>
      <c r="C145" s="1" t="s">
        <v>12</v>
      </c>
      <c r="D145" s="5">
        <v>3</v>
      </c>
    </row>
    <row r="146" spans="2:4" x14ac:dyDescent="0.35">
      <c r="B146" s="4" t="s">
        <v>25</v>
      </c>
      <c r="C146" s="1" t="s">
        <v>50</v>
      </c>
      <c r="D146" s="5">
        <v>5</v>
      </c>
    </row>
    <row r="147" spans="2:4" x14ac:dyDescent="0.35">
      <c r="B147" s="4" t="s">
        <v>25</v>
      </c>
      <c r="C147" s="1" t="s">
        <v>51</v>
      </c>
      <c r="D147" s="6">
        <v>17.77</v>
      </c>
    </row>
    <row r="148" spans="2:4" x14ac:dyDescent="0.35">
      <c r="B148" s="4" t="s">
        <v>26</v>
      </c>
      <c r="C148" s="1" t="s">
        <v>2</v>
      </c>
      <c r="D148" s="5">
        <v>56</v>
      </c>
    </row>
    <row r="149" spans="2:4" x14ac:dyDescent="0.35">
      <c r="B149" s="4" t="s">
        <v>26</v>
      </c>
      <c r="C149" s="1" t="s">
        <v>7</v>
      </c>
      <c r="D149" s="5">
        <v>49</v>
      </c>
    </row>
    <row r="150" spans="2:4" x14ac:dyDescent="0.35">
      <c r="B150" s="4" t="s">
        <v>26</v>
      </c>
      <c r="C150" s="1" t="s">
        <v>4</v>
      </c>
      <c r="D150" s="5">
        <v>38</v>
      </c>
    </row>
    <row r="151" spans="2:4" x14ac:dyDescent="0.35">
      <c r="B151" s="4" t="s">
        <v>26</v>
      </c>
      <c r="C151" s="1" t="s">
        <v>9</v>
      </c>
      <c r="D151" s="5">
        <v>13</v>
      </c>
    </row>
    <row r="152" spans="2:4" x14ac:dyDescent="0.35">
      <c r="B152" s="4" t="s">
        <v>26</v>
      </c>
      <c r="C152" s="1" t="s">
        <v>3</v>
      </c>
      <c r="D152" s="5">
        <v>49</v>
      </c>
    </row>
    <row r="153" spans="2:4" x14ac:dyDescent="0.35">
      <c r="B153" s="4" t="s">
        <v>26</v>
      </c>
      <c r="C153" s="1" t="s">
        <v>10</v>
      </c>
      <c r="D153" s="5">
        <v>13</v>
      </c>
    </row>
    <row r="154" spans="2:4" x14ac:dyDescent="0.35">
      <c r="B154" s="4" t="s">
        <v>26</v>
      </c>
      <c r="C154" s="1" t="s">
        <v>6</v>
      </c>
      <c r="D154" s="5">
        <v>67</v>
      </c>
    </row>
    <row r="155" spans="2:4" x14ac:dyDescent="0.35">
      <c r="B155" s="4" t="s">
        <v>26</v>
      </c>
      <c r="C155" s="1" t="s">
        <v>11</v>
      </c>
      <c r="D155" s="5">
        <v>30</v>
      </c>
    </row>
    <row r="156" spans="2:4" x14ac:dyDescent="0.35">
      <c r="B156" s="4" t="s">
        <v>26</v>
      </c>
      <c r="C156" s="1" t="s">
        <v>8</v>
      </c>
      <c r="D156" s="5">
        <v>107.10000000000001</v>
      </c>
    </row>
    <row r="157" spans="2:4" x14ac:dyDescent="0.35">
      <c r="B157" s="4" t="s">
        <v>26</v>
      </c>
      <c r="C157" s="1" t="s">
        <v>12</v>
      </c>
      <c r="D157" s="5">
        <v>4</v>
      </c>
    </row>
    <row r="158" spans="2:4" x14ac:dyDescent="0.35">
      <c r="B158" s="4" t="s">
        <v>26</v>
      </c>
      <c r="C158" s="1" t="s">
        <v>50</v>
      </c>
      <c r="D158" s="5">
        <v>6</v>
      </c>
    </row>
    <row r="159" spans="2:4" x14ac:dyDescent="0.35">
      <c r="B159" s="4" t="s">
        <v>26</v>
      </c>
      <c r="C159" s="1" t="s">
        <v>51</v>
      </c>
      <c r="D159" s="6">
        <v>18.25</v>
      </c>
    </row>
    <row r="160" spans="2:4" x14ac:dyDescent="0.35">
      <c r="B160" s="4" t="s">
        <v>27</v>
      </c>
      <c r="C160" s="1" t="s">
        <v>2</v>
      </c>
      <c r="D160" s="5">
        <v>73</v>
      </c>
    </row>
    <row r="161" spans="2:4" x14ac:dyDescent="0.35">
      <c r="B161" s="4" t="s">
        <v>27</v>
      </c>
      <c r="C161" s="1" t="s">
        <v>7</v>
      </c>
      <c r="D161" s="5">
        <v>60</v>
      </c>
    </row>
    <row r="162" spans="2:4" x14ac:dyDescent="0.35">
      <c r="B162" s="4" t="s">
        <v>27</v>
      </c>
      <c r="C162" s="1" t="s">
        <v>4</v>
      </c>
      <c r="D162" s="5">
        <v>40</v>
      </c>
    </row>
    <row r="163" spans="2:4" x14ac:dyDescent="0.35">
      <c r="B163" s="4" t="s">
        <v>27</v>
      </c>
      <c r="C163" s="1" t="s">
        <v>9</v>
      </c>
      <c r="D163" s="5">
        <v>15</v>
      </c>
    </row>
    <row r="164" spans="2:4" x14ac:dyDescent="0.35">
      <c r="B164" s="4" t="s">
        <v>27</v>
      </c>
      <c r="C164" s="1" t="s">
        <v>3</v>
      </c>
      <c r="D164" s="5">
        <v>41</v>
      </c>
    </row>
    <row r="165" spans="2:4" x14ac:dyDescent="0.35">
      <c r="B165" s="4" t="s">
        <v>27</v>
      </c>
      <c r="C165" s="1" t="s">
        <v>10</v>
      </c>
      <c r="D165" s="5">
        <v>12</v>
      </c>
    </row>
    <row r="166" spans="2:4" x14ac:dyDescent="0.35">
      <c r="B166" s="4" t="s">
        <v>27</v>
      </c>
      <c r="C166" s="1" t="s">
        <v>6</v>
      </c>
      <c r="D166" s="5">
        <v>59</v>
      </c>
    </row>
    <row r="167" spans="2:4" x14ac:dyDescent="0.35">
      <c r="B167" s="4" t="s">
        <v>27</v>
      </c>
      <c r="C167" s="1" t="s">
        <v>11</v>
      </c>
      <c r="D167" s="5">
        <v>35</v>
      </c>
    </row>
    <row r="168" spans="2:4" x14ac:dyDescent="0.35">
      <c r="B168" s="4" t="s">
        <v>27</v>
      </c>
      <c r="C168" s="1" t="s">
        <v>8</v>
      </c>
      <c r="D168" s="5">
        <v>107.2</v>
      </c>
    </row>
    <row r="169" spans="2:4" x14ac:dyDescent="0.35">
      <c r="B169" s="4" t="s">
        <v>27</v>
      </c>
      <c r="C169" s="1" t="s">
        <v>12</v>
      </c>
      <c r="D169" s="5">
        <v>3</v>
      </c>
    </row>
    <row r="170" spans="2:4" x14ac:dyDescent="0.35">
      <c r="B170" s="4" t="s">
        <v>27</v>
      </c>
      <c r="C170" s="1" t="s">
        <v>50</v>
      </c>
      <c r="D170" s="5">
        <v>5</v>
      </c>
    </row>
    <row r="171" spans="2:4" x14ac:dyDescent="0.35">
      <c r="B171" s="4" t="s">
        <v>27</v>
      </c>
      <c r="C171" s="1" t="s">
        <v>51</v>
      </c>
      <c r="D171" s="6">
        <v>18.23</v>
      </c>
    </row>
    <row r="172" spans="2:4" x14ac:dyDescent="0.35">
      <c r="B172" s="4" t="s">
        <v>28</v>
      </c>
      <c r="C172" s="1" t="s">
        <v>2</v>
      </c>
      <c r="D172" s="5">
        <v>55</v>
      </c>
    </row>
    <row r="173" spans="2:4" x14ac:dyDescent="0.35">
      <c r="B173" s="4" t="s">
        <v>28</v>
      </c>
      <c r="C173" s="1" t="s">
        <v>7</v>
      </c>
      <c r="D173" s="5">
        <v>49</v>
      </c>
    </row>
    <row r="174" spans="2:4" x14ac:dyDescent="0.35">
      <c r="B174" s="4" t="s">
        <v>28</v>
      </c>
      <c r="C174" s="1" t="s">
        <v>4</v>
      </c>
      <c r="D174" s="5">
        <v>37</v>
      </c>
    </row>
    <row r="175" spans="2:4" x14ac:dyDescent="0.35">
      <c r="B175" s="4" t="s">
        <v>28</v>
      </c>
      <c r="C175" s="1" t="s">
        <v>9</v>
      </c>
      <c r="D175" s="5">
        <v>20</v>
      </c>
    </row>
    <row r="176" spans="2:4" x14ac:dyDescent="0.35">
      <c r="B176" s="4" t="s">
        <v>28</v>
      </c>
      <c r="C176" s="1" t="s">
        <v>3</v>
      </c>
      <c r="D176" s="5">
        <v>46</v>
      </c>
    </row>
    <row r="177" spans="2:4" x14ac:dyDescent="0.35">
      <c r="B177" s="4" t="s">
        <v>28</v>
      </c>
      <c r="C177" s="1" t="s">
        <v>10</v>
      </c>
      <c r="D177" s="5">
        <v>18</v>
      </c>
    </row>
    <row r="178" spans="2:4" x14ac:dyDescent="0.35">
      <c r="B178" s="4" t="s">
        <v>28</v>
      </c>
      <c r="C178" s="1" t="s">
        <v>6</v>
      </c>
      <c r="D178" s="5">
        <v>56</v>
      </c>
    </row>
    <row r="179" spans="2:4" x14ac:dyDescent="0.35">
      <c r="B179" s="4" t="s">
        <v>28</v>
      </c>
      <c r="C179" s="1" t="s">
        <v>11</v>
      </c>
      <c r="D179" s="5">
        <v>35</v>
      </c>
    </row>
    <row r="180" spans="2:4" x14ac:dyDescent="0.35">
      <c r="B180" s="4" t="s">
        <v>28</v>
      </c>
      <c r="C180" s="1" t="s">
        <v>8</v>
      </c>
      <c r="D180" s="5">
        <v>104.28</v>
      </c>
    </row>
    <row r="181" spans="2:4" x14ac:dyDescent="0.35">
      <c r="B181" s="4" t="s">
        <v>28</v>
      </c>
      <c r="C181" s="1" t="s">
        <v>12</v>
      </c>
      <c r="D181" s="5">
        <v>4</v>
      </c>
    </row>
    <row r="182" spans="2:4" x14ac:dyDescent="0.35">
      <c r="B182" s="4" t="s">
        <v>28</v>
      </c>
      <c r="C182" s="1" t="s">
        <v>50</v>
      </c>
      <c r="D182" s="5">
        <v>6</v>
      </c>
    </row>
    <row r="183" spans="2:4" x14ac:dyDescent="0.35">
      <c r="B183" s="4" t="s">
        <v>28</v>
      </c>
      <c r="C183" s="1" t="s">
        <v>51</v>
      </c>
      <c r="D183" s="6">
        <v>16.73</v>
      </c>
    </row>
    <row r="184" spans="2:4" x14ac:dyDescent="0.35">
      <c r="B184" s="4" t="s">
        <v>29</v>
      </c>
      <c r="C184" s="1" t="s">
        <v>2</v>
      </c>
      <c r="D184" s="5">
        <v>56</v>
      </c>
    </row>
    <row r="185" spans="2:4" x14ac:dyDescent="0.35">
      <c r="B185" s="4" t="s">
        <v>29</v>
      </c>
      <c r="C185" s="1" t="s">
        <v>7</v>
      </c>
      <c r="D185" s="5">
        <v>47</v>
      </c>
    </row>
    <row r="186" spans="2:4" x14ac:dyDescent="0.35">
      <c r="B186" s="4" t="s">
        <v>29</v>
      </c>
      <c r="C186" s="1" t="s">
        <v>4</v>
      </c>
      <c r="D186" s="5">
        <v>38</v>
      </c>
    </row>
    <row r="187" spans="2:4" x14ac:dyDescent="0.35">
      <c r="B187" s="4" t="s">
        <v>29</v>
      </c>
      <c r="C187" s="1" t="s">
        <v>9</v>
      </c>
      <c r="D187" s="5">
        <v>13</v>
      </c>
    </row>
    <row r="188" spans="2:4" x14ac:dyDescent="0.35">
      <c r="B188" s="4" t="s">
        <v>29</v>
      </c>
      <c r="C188" s="1" t="s">
        <v>3</v>
      </c>
      <c r="D188" s="5">
        <v>41</v>
      </c>
    </row>
    <row r="189" spans="2:4" x14ac:dyDescent="0.35">
      <c r="B189" s="4" t="s">
        <v>29</v>
      </c>
      <c r="C189" s="1" t="s">
        <v>10</v>
      </c>
      <c r="D189" s="5">
        <v>18</v>
      </c>
    </row>
    <row r="190" spans="2:4" x14ac:dyDescent="0.35">
      <c r="B190" s="4" t="s">
        <v>29</v>
      </c>
      <c r="C190" s="1" t="s">
        <v>6</v>
      </c>
      <c r="D190" s="5">
        <v>57</v>
      </c>
    </row>
    <row r="191" spans="2:4" x14ac:dyDescent="0.35">
      <c r="B191" s="4" t="s">
        <v>29</v>
      </c>
      <c r="C191" s="1" t="s">
        <v>11</v>
      </c>
      <c r="D191" s="5">
        <v>32</v>
      </c>
    </row>
    <row r="192" spans="2:4" x14ac:dyDescent="0.35">
      <c r="B192" s="4" t="s">
        <v>29</v>
      </c>
      <c r="C192" s="1" t="s">
        <v>8</v>
      </c>
      <c r="D192" s="5">
        <v>105.69999999999999</v>
      </c>
    </row>
    <row r="193" spans="2:4" x14ac:dyDescent="0.35">
      <c r="B193" s="4" t="s">
        <v>29</v>
      </c>
      <c r="C193" s="1" t="s">
        <v>12</v>
      </c>
      <c r="D193" s="5">
        <v>3</v>
      </c>
    </row>
    <row r="194" spans="2:4" x14ac:dyDescent="0.35">
      <c r="B194" s="4" t="s">
        <v>29</v>
      </c>
      <c r="C194" s="1" t="s">
        <v>50</v>
      </c>
      <c r="D194" s="5">
        <v>5</v>
      </c>
    </row>
    <row r="195" spans="2:4" x14ac:dyDescent="0.35">
      <c r="B195" s="4" t="s">
        <v>29</v>
      </c>
      <c r="C195" s="1" t="s">
        <v>51</v>
      </c>
      <c r="D195" s="6">
        <v>16.53</v>
      </c>
    </row>
    <row r="196" spans="2:4" x14ac:dyDescent="0.35">
      <c r="B196" s="4" t="s">
        <v>30</v>
      </c>
      <c r="C196" s="1" t="s">
        <v>2</v>
      </c>
      <c r="D196" s="5">
        <v>62</v>
      </c>
    </row>
    <row r="197" spans="2:4" x14ac:dyDescent="0.35">
      <c r="B197" s="4" t="s">
        <v>30</v>
      </c>
      <c r="C197" s="1" t="s">
        <v>7</v>
      </c>
      <c r="D197" s="5">
        <v>46</v>
      </c>
    </row>
    <row r="198" spans="2:4" x14ac:dyDescent="0.35">
      <c r="B198" s="4" t="s">
        <v>30</v>
      </c>
      <c r="C198" s="1" t="s">
        <v>4</v>
      </c>
      <c r="D198" s="5">
        <v>37</v>
      </c>
    </row>
    <row r="199" spans="2:4" x14ac:dyDescent="0.35">
      <c r="B199" s="4" t="s">
        <v>30</v>
      </c>
      <c r="C199" s="1" t="s">
        <v>9</v>
      </c>
      <c r="D199" s="5">
        <v>18</v>
      </c>
    </row>
    <row r="200" spans="2:4" x14ac:dyDescent="0.35">
      <c r="B200" s="4" t="s">
        <v>30</v>
      </c>
      <c r="C200" s="1" t="s">
        <v>3</v>
      </c>
      <c r="D200" s="5">
        <v>35</v>
      </c>
    </row>
    <row r="201" spans="2:4" x14ac:dyDescent="0.35">
      <c r="B201" s="4" t="s">
        <v>30</v>
      </c>
      <c r="C201" s="1" t="s">
        <v>10</v>
      </c>
      <c r="D201" s="5">
        <v>17</v>
      </c>
    </row>
    <row r="202" spans="2:4" x14ac:dyDescent="0.35">
      <c r="B202" s="4" t="s">
        <v>30</v>
      </c>
      <c r="C202" s="1" t="s">
        <v>6</v>
      </c>
      <c r="D202" s="5">
        <v>57</v>
      </c>
    </row>
    <row r="203" spans="2:4" x14ac:dyDescent="0.35">
      <c r="B203" s="4" t="s">
        <v>30</v>
      </c>
      <c r="C203" s="1" t="s">
        <v>11</v>
      </c>
      <c r="D203" s="5">
        <v>32</v>
      </c>
    </row>
    <row r="204" spans="2:4" x14ac:dyDescent="0.35">
      <c r="B204" s="4" t="s">
        <v>30</v>
      </c>
      <c r="C204" s="1" t="s">
        <v>8</v>
      </c>
      <c r="D204" s="5">
        <v>109.44</v>
      </c>
    </row>
    <row r="205" spans="2:4" x14ac:dyDescent="0.35">
      <c r="B205" s="4" t="s">
        <v>30</v>
      </c>
      <c r="C205" s="1" t="s">
        <v>12</v>
      </c>
      <c r="D205" s="5">
        <v>3</v>
      </c>
    </row>
    <row r="206" spans="2:4" x14ac:dyDescent="0.35">
      <c r="B206" s="4" t="s">
        <v>30</v>
      </c>
      <c r="C206" s="1" t="s">
        <v>50</v>
      </c>
      <c r="D206" s="5">
        <v>5</v>
      </c>
    </row>
    <row r="207" spans="2:4" x14ac:dyDescent="0.35">
      <c r="B207" s="4" t="s">
        <v>30</v>
      </c>
      <c r="C207" s="1" t="s">
        <v>51</v>
      </c>
      <c r="D207" s="6">
        <v>16.400000000000002</v>
      </c>
    </row>
    <row r="208" spans="2:4" x14ac:dyDescent="0.35">
      <c r="B208" s="4" t="s">
        <v>31</v>
      </c>
      <c r="C208" s="1" t="s">
        <v>2</v>
      </c>
      <c r="D208" s="5">
        <v>70</v>
      </c>
    </row>
    <row r="209" spans="2:4" x14ac:dyDescent="0.35">
      <c r="B209" s="4" t="s">
        <v>31</v>
      </c>
      <c r="C209" s="1" t="s">
        <v>7</v>
      </c>
      <c r="D209" s="5">
        <v>56</v>
      </c>
    </row>
    <row r="210" spans="2:4" x14ac:dyDescent="0.35">
      <c r="B210" s="4" t="s">
        <v>31</v>
      </c>
      <c r="C210" s="1" t="s">
        <v>4</v>
      </c>
      <c r="D210" s="5">
        <v>33</v>
      </c>
    </row>
    <row r="211" spans="2:4" x14ac:dyDescent="0.35">
      <c r="B211" s="4" t="s">
        <v>31</v>
      </c>
      <c r="C211" s="1" t="s">
        <v>9</v>
      </c>
      <c r="D211" s="5">
        <v>16</v>
      </c>
    </row>
    <row r="212" spans="2:4" x14ac:dyDescent="0.35">
      <c r="B212" s="4" t="s">
        <v>31</v>
      </c>
      <c r="C212" s="1" t="s">
        <v>3</v>
      </c>
      <c r="D212" s="5">
        <v>49</v>
      </c>
    </row>
    <row r="213" spans="2:4" x14ac:dyDescent="0.35">
      <c r="B213" s="4" t="s">
        <v>31</v>
      </c>
      <c r="C213" s="1" t="s">
        <v>10</v>
      </c>
      <c r="D213" s="5">
        <v>17</v>
      </c>
    </row>
    <row r="214" spans="2:4" x14ac:dyDescent="0.35">
      <c r="B214" s="4" t="s">
        <v>31</v>
      </c>
      <c r="C214" s="1" t="s">
        <v>6</v>
      </c>
      <c r="D214" s="5">
        <v>64</v>
      </c>
    </row>
    <row r="215" spans="2:4" x14ac:dyDescent="0.35">
      <c r="B215" s="4" t="s">
        <v>31</v>
      </c>
      <c r="C215" s="1" t="s">
        <v>11</v>
      </c>
      <c r="D215" s="5">
        <v>33</v>
      </c>
    </row>
    <row r="216" spans="2:4" x14ac:dyDescent="0.35">
      <c r="B216" s="4" t="s">
        <v>31</v>
      </c>
      <c r="C216" s="1" t="s">
        <v>8</v>
      </c>
      <c r="D216" s="5">
        <v>104.78</v>
      </c>
    </row>
    <row r="217" spans="2:4" x14ac:dyDescent="0.35">
      <c r="B217" s="4" t="s">
        <v>31</v>
      </c>
      <c r="C217" s="1" t="s">
        <v>12</v>
      </c>
      <c r="D217" s="5">
        <v>4</v>
      </c>
    </row>
    <row r="218" spans="2:4" x14ac:dyDescent="0.35">
      <c r="B218" s="4" t="s">
        <v>31</v>
      </c>
      <c r="C218" s="1" t="s">
        <v>50</v>
      </c>
      <c r="D218" s="5">
        <v>6</v>
      </c>
    </row>
    <row r="219" spans="2:4" x14ac:dyDescent="0.35">
      <c r="B219" s="4" t="s">
        <v>31</v>
      </c>
      <c r="C219" s="1" t="s">
        <v>51</v>
      </c>
      <c r="D219" s="6">
        <v>18.72</v>
      </c>
    </row>
    <row r="220" spans="2:4" x14ac:dyDescent="0.35">
      <c r="B220" s="4" t="s">
        <v>32</v>
      </c>
      <c r="C220" s="1" t="s">
        <v>2</v>
      </c>
      <c r="D220" s="5">
        <v>68</v>
      </c>
    </row>
    <row r="221" spans="2:4" x14ac:dyDescent="0.35">
      <c r="B221" s="4" t="s">
        <v>32</v>
      </c>
      <c r="C221" s="1" t="s">
        <v>7</v>
      </c>
      <c r="D221" s="5">
        <v>52</v>
      </c>
    </row>
    <row r="222" spans="2:4" x14ac:dyDescent="0.35">
      <c r="B222" s="4" t="s">
        <v>32</v>
      </c>
      <c r="C222" s="1" t="s">
        <v>4</v>
      </c>
      <c r="D222" s="5">
        <v>33</v>
      </c>
    </row>
    <row r="223" spans="2:4" x14ac:dyDescent="0.35">
      <c r="B223" s="4" t="s">
        <v>32</v>
      </c>
      <c r="C223" s="1" t="s">
        <v>9</v>
      </c>
      <c r="D223" s="5">
        <v>16</v>
      </c>
    </row>
    <row r="224" spans="2:4" x14ac:dyDescent="0.35">
      <c r="B224" s="4" t="s">
        <v>32</v>
      </c>
      <c r="C224" s="1" t="s">
        <v>3</v>
      </c>
      <c r="D224" s="5">
        <v>40</v>
      </c>
    </row>
    <row r="225" spans="2:4" x14ac:dyDescent="0.35">
      <c r="B225" s="4" t="s">
        <v>32</v>
      </c>
      <c r="C225" s="1" t="s">
        <v>10</v>
      </c>
      <c r="D225" s="5">
        <v>15</v>
      </c>
    </row>
    <row r="226" spans="2:4" x14ac:dyDescent="0.35">
      <c r="B226" s="4" t="s">
        <v>32</v>
      </c>
      <c r="C226" s="1" t="s">
        <v>6</v>
      </c>
      <c r="D226" s="5">
        <v>55</v>
      </c>
    </row>
    <row r="227" spans="2:4" x14ac:dyDescent="0.35">
      <c r="B227" s="4" t="s">
        <v>32</v>
      </c>
      <c r="C227" s="1" t="s">
        <v>11</v>
      </c>
      <c r="D227" s="5">
        <v>31</v>
      </c>
    </row>
    <row r="228" spans="2:4" x14ac:dyDescent="0.35">
      <c r="B228" s="4" t="s">
        <v>32</v>
      </c>
      <c r="C228" s="1" t="s">
        <v>8</v>
      </c>
      <c r="D228" s="5">
        <v>99.2</v>
      </c>
    </row>
    <row r="229" spans="2:4" x14ac:dyDescent="0.35">
      <c r="B229" s="4" t="s">
        <v>32</v>
      </c>
      <c r="C229" s="1" t="s">
        <v>12</v>
      </c>
      <c r="D229" s="5">
        <v>4</v>
      </c>
    </row>
    <row r="230" spans="2:4" x14ac:dyDescent="0.35">
      <c r="B230" s="4" t="s">
        <v>32</v>
      </c>
      <c r="C230" s="1" t="s">
        <v>50</v>
      </c>
      <c r="D230" s="5">
        <v>5</v>
      </c>
    </row>
    <row r="231" spans="2:4" x14ac:dyDescent="0.35">
      <c r="B231" s="4" t="s">
        <v>32</v>
      </c>
      <c r="C231" s="1" t="s">
        <v>51</v>
      </c>
      <c r="D231" s="6">
        <v>16.850000000000001</v>
      </c>
    </row>
    <row r="232" spans="2:4" x14ac:dyDescent="0.35">
      <c r="B232" s="4" t="s">
        <v>33</v>
      </c>
      <c r="C232" s="1" t="s">
        <v>2</v>
      </c>
      <c r="D232" s="5">
        <v>69</v>
      </c>
    </row>
    <row r="233" spans="2:4" x14ac:dyDescent="0.35">
      <c r="B233" s="4" t="s">
        <v>33</v>
      </c>
      <c r="C233" s="1" t="s">
        <v>7</v>
      </c>
      <c r="D233" s="5">
        <v>48</v>
      </c>
    </row>
    <row r="234" spans="2:4" x14ac:dyDescent="0.35">
      <c r="B234" s="4" t="s">
        <v>33</v>
      </c>
      <c r="C234" s="1" t="s">
        <v>4</v>
      </c>
      <c r="D234" s="5">
        <v>39</v>
      </c>
    </row>
    <row r="235" spans="2:4" x14ac:dyDescent="0.35">
      <c r="B235" s="4" t="s">
        <v>33</v>
      </c>
      <c r="C235" s="1" t="s">
        <v>9</v>
      </c>
      <c r="D235" s="5">
        <v>20</v>
      </c>
    </row>
    <row r="236" spans="2:4" x14ac:dyDescent="0.35">
      <c r="B236" s="4" t="s">
        <v>33</v>
      </c>
      <c r="C236" s="1" t="s">
        <v>3</v>
      </c>
      <c r="D236" s="5">
        <v>50</v>
      </c>
    </row>
    <row r="237" spans="2:4" x14ac:dyDescent="0.35">
      <c r="B237" s="4" t="s">
        <v>33</v>
      </c>
      <c r="C237" s="1" t="s">
        <v>10</v>
      </c>
      <c r="D237" s="5">
        <v>15</v>
      </c>
    </row>
    <row r="238" spans="2:4" x14ac:dyDescent="0.35">
      <c r="B238" s="4" t="s">
        <v>33</v>
      </c>
      <c r="C238" s="1" t="s">
        <v>6</v>
      </c>
      <c r="D238" s="5">
        <v>64</v>
      </c>
    </row>
    <row r="239" spans="2:4" x14ac:dyDescent="0.35">
      <c r="B239" s="4" t="s">
        <v>33</v>
      </c>
      <c r="C239" s="1" t="s">
        <v>11</v>
      </c>
      <c r="D239" s="5">
        <v>32</v>
      </c>
    </row>
    <row r="240" spans="2:4" x14ac:dyDescent="0.35">
      <c r="B240" s="4" t="s">
        <v>33</v>
      </c>
      <c r="C240" s="1" t="s">
        <v>8</v>
      </c>
      <c r="D240" s="5">
        <v>104.47</v>
      </c>
    </row>
    <row r="241" spans="2:4" x14ac:dyDescent="0.35">
      <c r="B241" s="4" t="s">
        <v>33</v>
      </c>
      <c r="C241" s="1" t="s">
        <v>12</v>
      </c>
      <c r="D241" s="5">
        <v>4</v>
      </c>
    </row>
    <row r="242" spans="2:4" x14ac:dyDescent="0.35">
      <c r="B242" s="4" t="s">
        <v>33</v>
      </c>
      <c r="C242" s="1" t="s">
        <v>50</v>
      </c>
      <c r="D242" s="5">
        <v>5</v>
      </c>
    </row>
    <row r="243" spans="2:4" x14ac:dyDescent="0.35">
      <c r="B243" s="4" t="s">
        <v>33</v>
      </c>
      <c r="C243" s="1" t="s">
        <v>51</v>
      </c>
      <c r="D243" s="6">
        <v>19.149999999999999</v>
      </c>
    </row>
    <row r="244" spans="2:4" x14ac:dyDescent="0.35">
      <c r="B244" s="4" t="s">
        <v>34</v>
      </c>
      <c r="C244" s="1" t="s">
        <v>2</v>
      </c>
      <c r="D244" s="5">
        <v>57</v>
      </c>
    </row>
    <row r="245" spans="2:4" x14ac:dyDescent="0.35">
      <c r="B245" s="4" t="s">
        <v>34</v>
      </c>
      <c r="C245" s="1" t="s">
        <v>7</v>
      </c>
      <c r="D245" s="5">
        <v>53</v>
      </c>
    </row>
    <row r="246" spans="2:4" x14ac:dyDescent="0.35">
      <c r="B246" s="4" t="s">
        <v>34</v>
      </c>
      <c r="C246" s="1" t="s">
        <v>4</v>
      </c>
      <c r="D246" s="5">
        <v>28</v>
      </c>
    </row>
    <row r="247" spans="2:4" x14ac:dyDescent="0.35">
      <c r="B247" s="4" t="s">
        <v>34</v>
      </c>
      <c r="C247" s="1" t="s">
        <v>9</v>
      </c>
      <c r="D247" s="5">
        <v>17</v>
      </c>
    </row>
    <row r="248" spans="2:4" x14ac:dyDescent="0.35">
      <c r="B248" s="4" t="s">
        <v>34</v>
      </c>
      <c r="C248" s="1" t="s">
        <v>3</v>
      </c>
      <c r="D248" s="5">
        <v>42</v>
      </c>
    </row>
    <row r="249" spans="2:4" x14ac:dyDescent="0.35">
      <c r="B249" s="4" t="s">
        <v>34</v>
      </c>
      <c r="C249" s="1" t="s">
        <v>10</v>
      </c>
      <c r="D249" s="5">
        <v>14</v>
      </c>
    </row>
    <row r="250" spans="2:4" x14ac:dyDescent="0.35">
      <c r="B250" s="4" t="s">
        <v>34</v>
      </c>
      <c r="C250" s="1" t="s">
        <v>6</v>
      </c>
      <c r="D250" s="5">
        <v>57</v>
      </c>
    </row>
    <row r="251" spans="2:4" x14ac:dyDescent="0.35">
      <c r="B251" s="4" t="s">
        <v>34</v>
      </c>
      <c r="C251" s="1" t="s">
        <v>11</v>
      </c>
      <c r="D251" s="5">
        <v>32</v>
      </c>
    </row>
    <row r="252" spans="2:4" x14ac:dyDescent="0.35">
      <c r="B252" s="4" t="s">
        <v>34</v>
      </c>
      <c r="C252" s="1" t="s">
        <v>8</v>
      </c>
      <c r="D252" s="5">
        <v>96</v>
      </c>
    </row>
    <row r="253" spans="2:4" x14ac:dyDescent="0.35">
      <c r="B253" s="4" t="s">
        <v>34</v>
      </c>
      <c r="C253" s="1" t="s">
        <v>12</v>
      </c>
      <c r="D253" s="5">
        <v>4</v>
      </c>
    </row>
    <row r="254" spans="2:4" x14ac:dyDescent="0.35">
      <c r="B254" s="4" t="s">
        <v>34</v>
      </c>
      <c r="C254" s="1" t="s">
        <v>50</v>
      </c>
      <c r="D254" s="5">
        <v>5</v>
      </c>
    </row>
    <row r="255" spans="2:4" x14ac:dyDescent="0.35">
      <c r="B255" s="4" t="s">
        <v>34</v>
      </c>
      <c r="C255" s="1" t="s">
        <v>51</v>
      </c>
      <c r="D255" s="6">
        <v>16</v>
      </c>
    </row>
    <row r="256" spans="2:4" x14ac:dyDescent="0.35">
      <c r="B256" s="4" t="s">
        <v>35</v>
      </c>
      <c r="C256" s="1" t="s">
        <v>2</v>
      </c>
      <c r="D256" s="5">
        <v>72</v>
      </c>
    </row>
    <row r="257" spans="2:4" x14ac:dyDescent="0.35">
      <c r="B257" s="4" t="s">
        <v>35</v>
      </c>
      <c r="C257" s="1" t="s">
        <v>7</v>
      </c>
      <c r="D257" s="5">
        <v>58</v>
      </c>
    </row>
    <row r="258" spans="2:4" x14ac:dyDescent="0.35">
      <c r="B258" s="4" t="s">
        <v>35</v>
      </c>
      <c r="C258" s="1" t="s">
        <v>4</v>
      </c>
      <c r="D258" s="5">
        <v>39</v>
      </c>
    </row>
    <row r="259" spans="2:4" x14ac:dyDescent="0.35">
      <c r="B259" s="4" t="s">
        <v>35</v>
      </c>
      <c r="C259" s="1" t="s">
        <v>9</v>
      </c>
      <c r="D259" s="5">
        <v>13</v>
      </c>
    </row>
    <row r="260" spans="2:4" x14ac:dyDescent="0.35">
      <c r="B260" s="4" t="s">
        <v>35</v>
      </c>
      <c r="C260" s="1" t="s">
        <v>3</v>
      </c>
      <c r="D260" s="5">
        <v>39</v>
      </c>
    </row>
    <row r="261" spans="2:4" x14ac:dyDescent="0.35">
      <c r="B261" s="4" t="s">
        <v>35</v>
      </c>
      <c r="C261" s="1" t="s">
        <v>10</v>
      </c>
      <c r="D261" s="5">
        <v>14</v>
      </c>
    </row>
    <row r="262" spans="2:4" x14ac:dyDescent="0.35">
      <c r="B262" s="4" t="s">
        <v>35</v>
      </c>
      <c r="C262" s="1" t="s">
        <v>6</v>
      </c>
      <c r="D262" s="5">
        <v>56</v>
      </c>
    </row>
    <row r="263" spans="2:4" x14ac:dyDescent="0.35">
      <c r="B263" s="4" t="s">
        <v>35</v>
      </c>
      <c r="C263" s="1" t="s">
        <v>11</v>
      </c>
      <c r="D263" s="5">
        <v>32</v>
      </c>
    </row>
    <row r="264" spans="2:4" x14ac:dyDescent="0.35">
      <c r="B264" s="4" t="s">
        <v>35</v>
      </c>
      <c r="C264" s="1" t="s">
        <v>8</v>
      </c>
      <c r="D264" s="5">
        <v>106.59</v>
      </c>
    </row>
    <row r="265" spans="2:4" x14ac:dyDescent="0.35">
      <c r="B265" s="4" t="s">
        <v>35</v>
      </c>
      <c r="C265" s="1" t="s">
        <v>12</v>
      </c>
      <c r="D265" s="5">
        <v>4</v>
      </c>
    </row>
    <row r="266" spans="2:4" x14ac:dyDescent="0.35">
      <c r="B266" s="4" t="s">
        <v>35</v>
      </c>
      <c r="C266" s="1" t="s">
        <v>50</v>
      </c>
      <c r="D266" s="5">
        <v>6</v>
      </c>
    </row>
    <row r="267" spans="2:4" x14ac:dyDescent="0.35">
      <c r="B267" s="4" t="s">
        <v>35</v>
      </c>
      <c r="C267" s="1" t="s">
        <v>51</v>
      </c>
      <c r="D267" s="6">
        <v>17.600000000000001</v>
      </c>
    </row>
    <row r="268" spans="2:4" x14ac:dyDescent="0.35">
      <c r="B268" s="4" t="s">
        <v>36</v>
      </c>
      <c r="C268" s="1" t="s">
        <v>2</v>
      </c>
      <c r="D268" s="5">
        <v>64</v>
      </c>
    </row>
    <row r="269" spans="2:4" x14ac:dyDescent="0.35">
      <c r="B269" s="4" t="s">
        <v>36</v>
      </c>
      <c r="C269" s="1" t="s">
        <v>7</v>
      </c>
      <c r="D269" s="5">
        <v>55</v>
      </c>
    </row>
    <row r="270" spans="2:4" x14ac:dyDescent="0.35">
      <c r="B270" s="4" t="s">
        <v>36</v>
      </c>
      <c r="C270" s="1" t="s">
        <v>4</v>
      </c>
      <c r="D270" s="5">
        <v>28</v>
      </c>
    </row>
    <row r="271" spans="2:4" x14ac:dyDescent="0.35">
      <c r="B271" s="4" t="s">
        <v>36</v>
      </c>
      <c r="C271" s="1" t="s">
        <v>9</v>
      </c>
      <c r="D271" s="5">
        <v>16</v>
      </c>
    </row>
    <row r="272" spans="2:4" x14ac:dyDescent="0.35">
      <c r="B272" s="4" t="s">
        <v>36</v>
      </c>
      <c r="C272" s="1" t="s">
        <v>3</v>
      </c>
      <c r="D272" s="5">
        <v>40</v>
      </c>
    </row>
    <row r="273" spans="2:4" x14ac:dyDescent="0.35">
      <c r="B273" s="4" t="s">
        <v>36</v>
      </c>
      <c r="C273" s="1" t="s">
        <v>10</v>
      </c>
      <c r="D273" s="5">
        <v>11</v>
      </c>
    </row>
    <row r="274" spans="2:4" x14ac:dyDescent="0.35">
      <c r="B274" s="4" t="s">
        <v>36</v>
      </c>
      <c r="C274" s="1" t="s">
        <v>6</v>
      </c>
      <c r="D274" s="5">
        <v>63</v>
      </c>
    </row>
    <row r="275" spans="2:4" x14ac:dyDescent="0.35">
      <c r="B275" s="4" t="s">
        <v>36</v>
      </c>
      <c r="C275" s="1" t="s">
        <v>11</v>
      </c>
      <c r="D275" s="5">
        <v>34</v>
      </c>
    </row>
    <row r="276" spans="2:4" x14ac:dyDescent="0.35">
      <c r="B276" s="4" t="s">
        <v>36</v>
      </c>
      <c r="C276" s="1" t="s">
        <v>8</v>
      </c>
      <c r="D276" s="5">
        <v>99.52</v>
      </c>
    </row>
    <row r="277" spans="2:4" x14ac:dyDescent="0.35">
      <c r="B277" s="4" t="s">
        <v>36</v>
      </c>
      <c r="C277" s="1" t="s">
        <v>12</v>
      </c>
      <c r="D277" s="5">
        <v>4</v>
      </c>
    </row>
    <row r="278" spans="2:4" x14ac:dyDescent="0.35">
      <c r="B278" s="4" t="s">
        <v>36</v>
      </c>
      <c r="C278" s="1" t="s">
        <v>50</v>
      </c>
      <c r="D278" s="5">
        <v>5</v>
      </c>
    </row>
    <row r="279" spans="2:4" x14ac:dyDescent="0.35">
      <c r="B279" s="4" t="s">
        <v>36</v>
      </c>
      <c r="C279" s="1" t="s">
        <v>51</v>
      </c>
      <c r="D279" s="6">
        <v>16.98</v>
      </c>
    </row>
    <row r="280" spans="2:4" x14ac:dyDescent="0.35">
      <c r="B280" s="4" t="s">
        <v>37</v>
      </c>
      <c r="C280" s="1" t="s">
        <v>2</v>
      </c>
      <c r="D280" s="5">
        <v>69</v>
      </c>
    </row>
    <row r="281" spans="2:4" x14ac:dyDescent="0.35">
      <c r="B281" s="4" t="s">
        <v>37</v>
      </c>
      <c r="C281" s="1" t="s">
        <v>7</v>
      </c>
      <c r="D281" s="5">
        <v>48</v>
      </c>
    </row>
    <row r="282" spans="2:4" x14ac:dyDescent="0.35">
      <c r="B282" s="4" t="s">
        <v>37</v>
      </c>
      <c r="C282" s="1" t="s">
        <v>4</v>
      </c>
      <c r="D282" s="5">
        <v>36</v>
      </c>
    </row>
    <row r="283" spans="2:4" x14ac:dyDescent="0.35">
      <c r="B283" s="4" t="s">
        <v>37</v>
      </c>
      <c r="C283" s="1" t="s">
        <v>9</v>
      </c>
      <c r="D283" s="5">
        <v>19</v>
      </c>
    </row>
    <row r="284" spans="2:4" x14ac:dyDescent="0.35">
      <c r="B284" s="4" t="s">
        <v>37</v>
      </c>
      <c r="C284" s="1" t="s">
        <v>3</v>
      </c>
      <c r="D284" s="5">
        <v>50</v>
      </c>
    </row>
    <row r="285" spans="2:4" x14ac:dyDescent="0.35">
      <c r="B285" s="4" t="s">
        <v>37</v>
      </c>
      <c r="C285" s="1" t="s">
        <v>10</v>
      </c>
      <c r="D285" s="5">
        <v>13</v>
      </c>
    </row>
    <row r="286" spans="2:4" x14ac:dyDescent="0.35">
      <c r="B286" s="4" t="s">
        <v>37</v>
      </c>
      <c r="C286" s="1" t="s">
        <v>6</v>
      </c>
      <c r="D286" s="5">
        <v>60</v>
      </c>
    </row>
    <row r="287" spans="2:4" x14ac:dyDescent="0.35">
      <c r="B287" s="4" t="s">
        <v>37</v>
      </c>
      <c r="C287" s="1" t="s">
        <v>11</v>
      </c>
      <c r="D287" s="5">
        <v>31</v>
      </c>
    </row>
    <row r="288" spans="2:4" x14ac:dyDescent="0.35">
      <c r="B288" s="4" t="s">
        <v>37</v>
      </c>
      <c r="C288" s="1" t="s">
        <v>8</v>
      </c>
      <c r="D288" s="5">
        <v>101.06</v>
      </c>
    </row>
    <row r="289" spans="2:4" x14ac:dyDescent="0.35">
      <c r="B289" s="4" t="s">
        <v>37</v>
      </c>
      <c r="C289" s="1" t="s">
        <v>12</v>
      </c>
      <c r="D289" s="5">
        <v>3</v>
      </c>
    </row>
    <row r="290" spans="2:4" x14ac:dyDescent="0.35">
      <c r="B290" s="4" t="s">
        <v>37</v>
      </c>
      <c r="C290" s="1" t="s">
        <v>50</v>
      </c>
      <c r="D290" s="5">
        <v>6</v>
      </c>
    </row>
    <row r="291" spans="2:4" x14ac:dyDescent="0.35">
      <c r="B291" s="4" t="s">
        <v>37</v>
      </c>
      <c r="C291" s="1" t="s">
        <v>51</v>
      </c>
      <c r="D291" s="6">
        <v>18.54</v>
      </c>
    </row>
    <row r="292" spans="2:4" x14ac:dyDescent="0.35">
      <c r="B292" s="4" t="s">
        <v>38</v>
      </c>
      <c r="C292" s="1" t="s">
        <v>2</v>
      </c>
      <c r="D292" s="5">
        <v>57</v>
      </c>
    </row>
    <row r="293" spans="2:4" x14ac:dyDescent="0.35">
      <c r="B293" s="4" t="s">
        <v>38</v>
      </c>
      <c r="C293" s="1" t="s">
        <v>7</v>
      </c>
      <c r="D293" s="5">
        <v>47</v>
      </c>
    </row>
    <row r="294" spans="2:4" x14ac:dyDescent="0.35">
      <c r="B294" s="4" t="s">
        <v>38</v>
      </c>
      <c r="C294" s="1" t="s">
        <v>4</v>
      </c>
      <c r="D294" s="5">
        <v>35</v>
      </c>
    </row>
    <row r="295" spans="2:4" x14ac:dyDescent="0.35">
      <c r="B295" s="4" t="s">
        <v>38</v>
      </c>
      <c r="C295" s="1" t="s">
        <v>9</v>
      </c>
      <c r="D295" s="5">
        <v>17</v>
      </c>
    </row>
    <row r="296" spans="2:4" x14ac:dyDescent="0.35">
      <c r="B296" s="4" t="s">
        <v>38</v>
      </c>
      <c r="C296" s="1" t="s">
        <v>3</v>
      </c>
      <c r="D296" s="5">
        <v>41</v>
      </c>
    </row>
    <row r="297" spans="2:4" x14ac:dyDescent="0.35">
      <c r="B297" s="4" t="s">
        <v>38</v>
      </c>
      <c r="C297" s="1" t="s">
        <v>10</v>
      </c>
      <c r="D297" s="5">
        <v>11</v>
      </c>
    </row>
    <row r="298" spans="2:4" x14ac:dyDescent="0.35">
      <c r="B298" s="4" t="s">
        <v>38</v>
      </c>
      <c r="C298" s="1" t="s">
        <v>6</v>
      </c>
      <c r="D298" s="5">
        <v>61</v>
      </c>
    </row>
    <row r="299" spans="2:4" x14ac:dyDescent="0.35">
      <c r="B299" s="4" t="s">
        <v>38</v>
      </c>
      <c r="C299" s="1" t="s">
        <v>11</v>
      </c>
      <c r="D299" s="5">
        <v>35</v>
      </c>
    </row>
    <row r="300" spans="2:4" x14ac:dyDescent="0.35">
      <c r="B300" s="4" t="s">
        <v>38</v>
      </c>
      <c r="C300" s="1" t="s">
        <v>8</v>
      </c>
      <c r="D300" s="5">
        <v>88.16</v>
      </c>
    </row>
    <row r="301" spans="2:4" x14ac:dyDescent="0.35">
      <c r="B301" s="4" t="s">
        <v>38</v>
      </c>
      <c r="C301" s="1" t="s">
        <v>12</v>
      </c>
      <c r="D301" s="5">
        <v>3</v>
      </c>
    </row>
    <row r="302" spans="2:4" x14ac:dyDescent="0.35">
      <c r="B302" s="4" t="s">
        <v>38</v>
      </c>
      <c r="C302" s="1" t="s">
        <v>50</v>
      </c>
      <c r="D302" s="5">
        <v>3</v>
      </c>
    </row>
    <row r="303" spans="2:4" x14ac:dyDescent="0.35">
      <c r="B303" s="4" t="s">
        <v>38</v>
      </c>
      <c r="C303" s="1" t="s">
        <v>51</v>
      </c>
      <c r="D303" s="6">
        <v>16.8</v>
      </c>
    </row>
    <row r="304" spans="2:4" x14ac:dyDescent="0.35">
      <c r="B304" s="4" t="s">
        <v>39</v>
      </c>
      <c r="C304" s="1" t="s">
        <v>2</v>
      </c>
      <c r="D304" s="5">
        <v>72</v>
      </c>
    </row>
    <row r="305" spans="2:4" x14ac:dyDescent="0.35">
      <c r="B305" s="4" t="s">
        <v>39</v>
      </c>
      <c r="C305" s="1" t="s">
        <v>7</v>
      </c>
      <c r="D305" s="5">
        <v>57</v>
      </c>
    </row>
    <row r="306" spans="2:4" x14ac:dyDescent="0.35">
      <c r="B306" s="4" t="s">
        <v>39</v>
      </c>
      <c r="C306" s="1" t="s">
        <v>4</v>
      </c>
      <c r="D306" s="5">
        <v>29</v>
      </c>
    </row>
    <row r="307" spans="2:4" x14ac:dyDescent="0.35">
      <c r="B307" s="4" t="s">
        <v>39</v>
      </c>
      <c r="C307" s="1" t="s">
        <v>9</v>
      </c>
      <c r="D307" s="5">
        <v>16</v>
      </c>
    </row>
    <row r="308" spans="2:4" x14ac:dyDescent="0.35">
      <c r="B308" s="4" t="s">
        <v>39</v>
      </c>
      <c r="C308" s="1" t="s">
        <v>3</v>
      </c>
      <c r="D308" s="5">
        <v>49</v>
      </c>
    </row>
    <row r="309" spans="2:4" x14ac:dyDescent="0.35">
      <c r="B309" s="4" t="s">
        <v>39</v>
      </c>
      <c r="C309" s="1" t="s">
        <v>10</v>
      </c>
      <c r="D309" s="5">
        <v>19</v>
      </c>
    </row>
    <row r="310" spans="2:4" x14ac:dyDescent="0.35">
      <c r="B310" s="4" t="s">
        <v>39</v>
      </c>
      <c r="C310" s="1" t="s">
        <v>6</v>
      </c>
      <c r="D310" s="5">
        <v>57</v>
      </c>
    </row>
    <row r="311" spans="2:4" x14ac:dyDescent="0.35">
      <c r="B311" s="4" t="s">
        <v>39</v>
      </c>
      <c r="C311" s="1" t="s">
        <v>11</v>
      </c>
      <c r="D311" s="5">
        <v>35</v>
      </c>
    </row>
    <row r="312" spans="2:4" x14ac:dyDescent="0.35">
      <c r="B312" s="4" t="s">
        <v>39</v>
      </c>
      <c r="C312" s="1" t="s">
        <v>8</v>
      </c>
      <c r="D312" s="5">
        <v>96.86</v>
      </c>
    </row>
    <row r="313" spans="2:4" x14ac:dyDescent="0.35">
      <c r="B313" s="4" t="s">
        <v>39</v>
      </c>
      <c r="C313" s="1" t="s">
        <v>12</v>
      </c>
      <c r="D313" s="5">
        <v>4</v>
      </c>
    </row>
    <row r="314" spans="2:4" x14ac:dyDescent="0.35">
      <c r="B314" s="4" t="s">
        <v>39</v>
      </c>
      <c r="C314" s="1" t="s">
        <v>50</v>
      </c>
      <c r="D314" s="5">
        <v>4</v>
      </c>
    </row>
    <row r="315" spans="2:4" x14ac:dyDescent="0.35">
      <c r="B315" s="4" t="s">
        <v>39</v>
      </c>
      <c r="C315" s="1" t="s">
        <v>51</v>
      </c>
      <c r="D315" s="6">
        <v>17.899999999999999</v>
      </c>
    </row>
    <row r="316" spans="2:4" x14ac:dyDescent="0.35">
      <c r="B316" s="4" t="s">
        <v>40</v>
      </c>
      <c r="C316" s="1" t="s">
        <v>2</v>
      </c>
      <c r="D316" s="5">
        <v>61</v>
      </c>
    </row>
    <row r="317" spans="2:4" x14ac:dyDescent="0.35">
      <c r="B317" s="4" t="s">
        <v>40</v>
      </c>
      <c r="C317" s="1" t="s">
        <v>7</v>
      </c>
      <c r="D317" s="5">
        <v>52</v>
      </c>
    </row>
    <row r="318" spans="2:4" x14ac:dyDescent="0.35">
      <c r="B318" s="4" t="s">
        <v>40</v>
      </c>
      <c r="C318" s="1" t="s">
        <v>4</v>
      </c>
      <c r="D318" s="5">
        <v>27</v>
      </c>
    </row>
    <row r="319" spans="2:4" x14ac:dyDescent="0.35">
      <c r="B319" s="4" t="s">
        <v>40</v>
      </c>
      <c r="C319" s="1" t="s">
        <v>9</v>
      </c>
      <c r="D319" s="5">
        <v>13</v>
      </c>
    </row>
    <row r="320" spans="2:4" x14ac:dyDescent="0.35">
      <c r="B320" s="4" t="s">
        <v>40</v>
      </c>
      <c r="C320" s="1" t="s">
        <v>3</v>
      </c>
      <c r="D320" s="5">
        <v>38</v>
      </c>
    </row>
    <row r="321" spans="2:4" x14ac:dyDescent="0.35">
      <c r="B321" s="4" t="s">
        <v>40</v>
      </c>
      <c r="C321" s="1" t="s">
        <v>10</v>
      </c>
      <c r="D321" s="5">
        <v>17</v>
      </c>
    </row>
    <row r="322" spans="2:4" x14ac:dyDescent="0.35">
      <c r="B322" s="4" t="s">
        <v>40</v>
      </c>
      <c r="C322" s="1" t="s">
        <v>6</v>
      </c>
      <c r="D322" s="5">
        <v>63</v>
      </c>
    </row>
    <row r="323" spans="2:4" x14ac:dyDescent="0.35">
      <c r="B323" s="4" t="s">
        <v>40</v>
      </c>
      <c r="C323" s="1" t="s">
        <v>11</v>
      </c>
      <c r="D323" s="5">
        <v>31</v>
      </c>
    </row>
    <row r="324" spans="2:4" x14ac:dyDescent="0.35">
      <c r="B324" s="4" t="s">
        <v>40</v>
      </c>
      <c r="C324" s="1" t="s">
        <v>8</v>
      </c>
      <c r="D324" s="5">
        <v>87.58</v>
      </c>
    </row>
    <row r="325" spans="2:4" x14ac:dyDescent="0.35">
      <c r="B325" s="4" t="s">
        <v>40</v>
      </c>
      <c r="C325" s="1" t="s">
        <v>12</v>
      </c>
      <c r="D325" s="5">
        <v>4</v>
      </c>
    </row>
    <row r="326" spans="2:4" x14ac:dyDescent="0.35">
      <c r="B326" s="4" t="s">
        <v>40</v>
      </c>
      <c r="C326" s="1" t="s">
        <v>50</v>
      </c>
      <c r="D326" s="5">
        <v>4</v>
      </c>
    </row>
    <row r="327" spans="2:4" x14ac:dyDescent="0.35">
      <c r="B327" s="4" t="s">
        <v>40</v>
      </c>
      <c r="C327" s="1" t="s">
        <v>51</v>
      </c>
      <c r="D327" s="6">
        <v>16.490000000000002</v>
      </c>
    </row>
    <row r="328" spans="2:4" x14ac:dyDescent="0.35">
      <c r="B328" s="4" t="s">
        <v>41</v>
      </c>
      <c r="C328" s="1" t="s">
        <v>2</v>
      </c>
      <c r="D328" s="5">
        <v>62</v>
      </c>
    </row>
    <row r="329" spans="2:4" x14ac:dyDescent="0.35">
      <c r="B329" s="4" t="s">
        <v>41</v>
      </c>
      <c r="C329" s="1" t="s">
        <v>7</v>
      </c>
      <c r="D329" s="5">
        <v>48</v>
      </c>
    </row>
    <row r="330" spans="2:4" x14ac:dyDescent="0.35">
      <c r="B330" s="4" t="s">
        <v>41</v>
      </c>
      <c r="C330" s="1" t="s">
        <v>4</v>
      </c>
      <c r="D330" s="5">
        <v>25</v>
      </c>
    </row>
    <row r="331" spans="2:4" x14ac:dyDescent="0.35">
      <c r="B331" s="4" t="s">
        <v>41</v>
      </c>
      <c r="C331" s="1" t="s">
        <v>9</v>
      </c>
      <c r="D331" s="5">
        <v>20</v>
      </c>
    </row>
    <row r="332" spans="2:4" x14ac:dyDescent="0.35">
      <c r="B332" s="4" t="s">
        <v>41</v>
      </c>
      <c r="C332" s="1" t="s">
        <v>3</v>
      </c>
      <c r="D332" s="5">
        <v>47</v>
      </c>
    </row>
    <row r="333" spans="2:4" x14ac:dyDescent="0.35">
      <c r="B333" s="4" t="s">
        <v>41</v>
      </c>
      <c r="C333" s="1" t="s">
        <v>10</v>
      </c>
      <c r="D333" s="5">
        <v>11</v>
      </c>
    </row>
    <row r="334" spans="2:4" x14ac:dyDescent="0.35">
      <c r="B334" s="4" t="s">
        <v>41</v>
      </c>
      <c r="C334" s="1" t="s">
        <v>6</v>
      </c>
      <c r="D334" s="5">
        <v>56</v>
      </c>
    </row>
    <row r="335" spans="2:4" x14ac:dyDescent="0.35">
      <c r="B335" s="4" t="s">
        <v>41</v>
      </c>
      <c r="C335" s="1" t="s">
        <v>11</v>
      </c>
      <c r="D335" s="5">
        <v>30</v>
      </c>
    </row>
    <row r="336" spans="2:4" x14ac:dyDescent="0.35">
      <c r="B336" s="4" t="s">
        <v>41</v>
      </c>
      <c r="C336" s="1" t="s">
        <v>8</v>
      </c>
      <c r="D336" s="5">
        <v>80.73</v>
      </c>
    </row>
    <row r="337" spans="2:4" x14ac:dyDescent="0.35">
      <c r="B337" s="4" t="s">
        <v>41</v>
      </c>
      <c r="C337" s="1" t="s">
        <v>12</v>
      </c>
      <c r="D337" s="5">
        <v>3</v>
      </c>
    </row>
    <row r="338" spans="2:4" x14ac:dyDescent="0.35">
      <c r="B338" s="4" t="s">
        <v>41</v>
      </c>
      <c r="C338" s="1" t="s">
        <v>50</v>
      </c>
      <c r="D338" s="5">
        <v>4</v>
      </c>
    </row>
    <row r="339" spans="2:4" x14ac:dyDescent="0.35">
      <c r="B339" s="4" t="s">
        <v>41</v>
      </c>
      <c r="C339" s="1" t="s">
        <v>51</v>
      </c>
      <c r="D339" s="6">
        <v>16.54</v>
      </c>
    </row>
    <row r="340" spans="2:4" x14ac:dyDescent="0.35">
      <c r="B340" s="4" t="s">
        <v>42</v>
      </c>
      <c r="C340" s="1" t="s">
        <v>2</v>
      </c>
      <c r="D340" s="5">
        <v>59</v>
      </c>
    </row>
    <row r="341" spans="2:4" x14ac:dyDescent="0.35">
      <c r="B341" s="4" t="s">
        <v>42</v>
      </c>
      <c r="C341" s="1" t="s">
        <v>7</v>
      </c>
      <c r="D341" s="5">
        <v>58</v>
      </c>
    </row>
    <row r="342" spans="2:4" x14ac:dyDescent="0.35">
      <c r="B342" s="4" t="s">
        <v>42</v>
      </c>
      <c r="C342" s="1" t="s">
        <v>4</v>
      </c>
      <c r="D342" s="5">
        <v>32</v>
      </c>
    </row>
    <row r="343" spans="2:4" x14ac:dyDescent="0.35">
      <c r="B343" s="4" t="s">
        <v>42</v>
      </c>
      <c r="C343" s="1" t="s">
        <v>9</v>
      </c>
      <c r="D343" s="5">
        <v>13</v>
      </c>
    </row>
    <row r="344" spans="2:4" x14ac:dyDescent="0.35">
      <c r="B344" s="4" t="s">
        <v>42</v>
      </c>
      <c r="C344" s="1" t="s">
        <v>3</v>
      </c>
      <c r="D344" s="5">
        <v>41</v>
      </c>
    </row>
    <row r="345" spans="2:4" x14ac:dyDescent="0.35">
      <c r="B345" s="4" t="s">
        <v>42</v>
      </c>
      <c r="C345" s="1" t="s">
        <v>10</v>
      </c>
      <c r="D345" s="5">
        <v>13</v>
      </c>
    </row>
    <row r="346" spans="2:4" x14ac:dyDescent="0.35">
      <c r="B346" s="4" t="s">
        <v>42</v>
      </c>
      <c r="C346" s="1" t="s">
        <v>6</v>
      </c>
      <c r="D346" s="5">
        <v>54</v>
      </c>
    </row>
    <row r="347" spans="2:4" x14ac:dyDescent="0.35">
      <c r="B347" s="4" t="s">
        <v>42</v>
      </c>
      <c r="C347" s="1" t="s">
        <v>11</v>
      </c>
      <c r="D347" s="5">
        <v>35</v>
      </c>
    </row>
    <row r="348" spans="2:4" x14ac:dyDescent="0.35">
      <c r="B348" s="4" t="s">
        <v>42</v>
      </c>
      <c r="C348" s="1" t="s">
        <v>8</v>
      </c>
      <c r="D348" s="5">
        <v>88.449999999999989</v>
      </c>
    </row>
    <row r="349" spans="2:4" x14ac:dyDescent="0.35">
      <c r="B349" s="4" t="s">
        <v>42</v>
      </c>
      <c r="C349" s="1" t="s">
        <v>12</v>
      </c>
      <c r="D349" s="5">
        <v>4</v>
      </c>
    </row>
    <row r="350" spans="2:4" x14ac:dyDescent="0.35">
      <c r="B350" s="4" t="s">
        <v>42</v>
      </c>
      <c r="C350" s="1" t="s">
        <v>50</v>
      </c>
      <c r="D350" s="5">
        <v>5</v>
      </c>
    </row>
    <row r="351" spans="2:4" x14ac:dyDescent="0.35">
      <c r="B351" s="4" t="s">
        <v>42</v>
      </c>
      <c r="C351" s="1" t="s">
        <v>51</v>
      </c>
      <c r="D351" s="6">
        <v>16.05</v>
      </c>
    </row>
    <row r="352" spans="2:4" x14ac:dyDescent="0.35">
      <c r="B352" s="4" t="s">
        <v>43</v>
      </c>
      <c r="C352" s="1" t="s">
        <v>2</v>
      </c>
      <c r="D352" s="5">
        <v>67</v>
      </c>
    </row>
    <row r="353" spans="2:4" x14ac:dyDescent="0.35">
      <c r="B353" s="4" t="s">
        <v>43</v>
      </c>
      <c r="C353" s="1" t="s">
        <v>7</v>
      </c>
      <c r="D353" s="5">
        <v>56</v>
      </c>
    </row>
    <row r="354" spans="2:4" x14ac:dyDescent="0.35">
      <c r="B354" s="4" t="s">
        <v>43</v>
      </c>
      <c r="C354" s="1" t="s">
        <v>4</v>
      </c>
      <c r="D354" s="5">
        <v>31</v>
      </c>
    </row>
    <row r="355" spans="2:4" x14ac:dyDescent="0.35">
      <c r="B355" s="4" t="s">
        <v>43</v>
      </c>
      <c r="C355" s="1" t="s">
        <v>9</v>
      </c>
      <c r="D355" s="5">
        <v>18</v>
      </c>
    </row>
    <row r="356" spans="2:4" x14ac:dyDescent="0.35">
      <c r="B356" s="4" t="s">
        <v>43</v>
      </c>
      <c r="C356" s="1" t="s">
        <v>3</v>
      </c>
      <c r="D356" s="5">
        <v>47</v>
      </c>
    </row>
    <row r="357" spans="2:4" x14ac:dyDescent="0.35">
      <c r="B357" s="4" t="s">
        <v>43</v>
      </c>
      <c r="C357" s="1" t="s">
        <v>10</v>
      </c>
      <c r="D357" s="5">
        <v>17</v>
      </c>
    </row>
    <row r="358" spans="2:4" x14ac:dyDescent="0.35">
      <c r="B358" s="4" t="s">
        <v>43</v>
      </c>
      <c r="C358" s="1" t="s">
        <v>6</v>
      </c>
      <c r="D358" s="5">
        <v>66</v>
      </c>
    </row>
    <row r="359" spans="2:4" x14ac:dyDescent="0.35">
      <c r="B359" s="4" t="s">
        <v>43</v>
      </c>
      <c r="C359" s="1" t="s">
        <v>11</v>
      </c>
      <c r="D359" s="5">
        <v>30</v>
      </c>
    </row>
    <row r="360" spans="2:4" x14ac:dyDescent="0.35">
      <c r="B360" s="4" t="s">
        <v>43</v>
      </c>
      <c r="C360" s="1" t="s">
        <v>8</v>
      </c>
      <c r="D360" s="5">
        <v>102.92</v>
      </c>
    </row>
    <row r="361" spans="2:4" x14ac:dyDescent="0.35">
      <c r="B361" s="4" t="s">
        <v>43</v>
      </c>
      <c r="C361" s="1" t="s">
        <v>12</v>
      </c>
      <c r="D361" s="5">
        <v>3</v>
      </c>
    </row>
    <row r="362" spans="2:4" x14ac:dyDescent="0.35">
      <c r="B362" s="4" t="s">
        <v>43</v>
      </c>
      <c r="C362" s="1" t="s">
        <v>50</v>
      </c>
      <c r="D362" s="5">
        <v>4</v>
      </c>
    </row>
    <row r="363" spans="2:4" x14ac:dyDescent="0.35">
      <c r="B363" s="4" t="s">
        <v>43</v>
      </c>
      <c r="C363" s="1" t="s">
        <v>51</v>
      </c>
      <c r="D363" s="6">
        <v>18.360000000000003</v>
      </c>
    </row>
    <row r="364" spans="2:4" x14ac:dyDescent="0.35">
      <c r="B364" s="4" t="s">
        <v>44</v>
      </c>
      <c r="C364" s="1" t="s">
        <v>2</v>
      </c>
      <c r="D364" s="5">
        <v>70</v>
      </c>
    </row>
    <row r="365" spans="2:4" x14ac:dyDescent="0.35">
      <c r="B365" s="4" t="s">
        <v>44</v>
      </c>
      <c r="C365" s="1" t="s">
        <v>7</v>
      </c>
      <c r="D365" s="5">
        <v>52</v>
      </c>
    </row>
    <row r="366" spans="2:4" x14ac:dyDescent="0.35">
      <c r="B366" s="4" t="s">
        <v>44</v>
      </c>
      <c r="C366" s="1" t="s">
        <v>4</v>
      </c>
      <c r="D366" s="5">
        <v>37</v>
      </c>
    </row>
    <row r="367" spans="2:4" x14ac:dyDescent="0.35">
      <c r="B367" s="4" t="s">
        <v>44</v>
      </c>
      <c r="C367" s="1" t="s">
        <v>9</v>
      </c>
      <c r="D367" s="5">
        <v>10</v>
      </c>
    </row>
    <row r="368" spans="2:4" x14ac:dyDescent="0.35">
      <c r="B368" s="4" t="s">
        <v>44</v>
      </c>
      <c r="C368" s="1" t="s">
        <v>3</v>
      </c>
      <c r="D368" s="5">
        <v>35</v>
      </c>
    </row>
    <row r="369" spans="2:4" x14ac:dyDescent="0.35">
      <c r="B369" s="4" t="s">
        <v>44</v>
      </c>
      <c r="C369" s="1" t="s">
        <v>10</v>
      </c>
      <c r="D369" s="5">
        <v>18</v>
      </c>
    </row>
    <row r="370" spans="2:4" x14ac:dyDescent="0.35">
      <c r="B370" s="4" t="s">
        <v>44</v>
      </c>
      <c r="C370" s="1" t="s">
        <v>6</v>
      </c>
      <c r="D370" s="5">
        <v>59</v>
      </c>
    </row>
    <row r="371" spans="2:4" x14ac:dyDescent="0.35">
      <c r="B371" s="4" t="s">
        <v>44</v>
      </c>
      <c r="C371" s="1" t="s">
        <v>11</v>
      </c>
      <c r="D371" s="5">
        <v>35</v>
      </c>
    </row>
    <row r="372" spans="2:4" x14ac:dyDescent="0.35">
      <c r="B372" s="4" t="s">
        <v>44</v>
      </c>
      <c r="C372" s="1" t="s">
        <v>8</v>
      </c>
      <c r="D372" s="5">
        <v>104.28</v>
      </c>
    </row>
    <row r="373" spans="2:4" x14ac:dyDescent="0.35">
      <c r="B373" s="4" t="s">
        <v>44</v>
      </c>
      <c r="C373" s="1" t="s">
        <v>12</v>
      </c>
      <c r="D373" s="5">
        <v>3</v>
      </c>
    </row>
    <row r="374" spans="2:4" x14ac:dyDescent="0.35">
      <c r="B374" s="4" t="s">
        <v>44</v>
      </c>
      <c r="C374" s="1" t="s">
        <v>50</v>
      </c>
      <c r="D374" s="5">
        <v>5</v>
      </c>
    </row>
    <row r="375" spans="2:4" x14ac:dyDescent="0.35">
      <c r="B375" s="4" t="s">
        <v>44</v>
      </c>
      <c r="C375" s="1" t="s">
        <v>51</v>
      </c>
      <c r="D375" s="6">
        <v>17.240000000000002</v>
      </c>
    </row>
    <row r="376" spans="2:4" x14ac:dyDescent="0.35">
      <c r="B376" s="4" t="s">
        <v>45</v>
      </c>
      <c r="C376" s="1" t="s">
        <v>2</v>
      </c>
      <c r="D376" s="5">
        <v>75</v>
      </c>
    </row>
    <row r="377" spans="2:4" x14ac:dyDescent="0.35">
      <c r="B377" s="4" t="s">
        <v>45</v>
      </c>
      <c r="C377" s="1" t="s">
        <v>7</v>
      </c>
      <c r="D377" s="5">
        <v>47</v>
      </c>
    </row>
    <row r="378" spans="2:4" x14ac:dyDescent="0.35">
      <c r="B378" s="4" t="s">
        <v>45</v>
      </c>
      <c r="C378" s="1" t="s">
        <v>4</v>
      </c>
      <c r="D378" s="5">
        <v>27</v>
      </c>
    </row>
    <row r="379" spans="2:4" x14ac:dyDescent="0.35">
      <c r="B379" s="4" t="s">
        <v>45</v>
      </c>
      <c r="C379" s="1" t="s">
        <v>9</v>
      </c>
      <c r="D379" s="5">
        <v>19</v>
      </c>
    </row>
    <row r="380" spans="2:4" x14ac:dyDescent="0.35">
      <c r="B380" s="4" t="s">
        <v>45</v>
      </c>
      <c r="C380" s="1" t="s">
        <v>3</v>
      </c>
      <c r="D380" s="5">
        <v>45</v>
      </c>
    </row>
    <row r="381" spans="2:4" x14ac:dyDescent="0.35">
      <c r="B381" s="4" t="s">
        <v>45</v>
      </c>
      <c r="C381" s="1" t="s">
        <v>10</v>
      </c>
      <c r="D381" s="5">
        <v>11</v>
      </c>
    </row>
    <row r="382" spans="2:4" x14ac:dyDescent="0.35">
      <c r="B382" s="4" t="s">
        <v>45</v>
      </c>
      <c r="C382" s="1" t="s">
        <v>6</v>
      </c>
      <c r="D382" s="5">
        <v>59</v>
      </c>
    </row>
    <row r="383" spans="2:4" x14ac:dyDescent="0.35">
      <c r="B383" s="4" t="s">
        <v>45</v>
      </c>
      <c r="C383" s="1" t="s">
        <v>11</v>
      </c>
      <c r="D383" s="5">
        <v>30</v>
      </c>
    </row>
    <row r="384" spans="2:4" x14ac:dyDescent="0.35">
      <c r="B384" s="4" t="s">
        <v>45</v>
      </c>
      <c r="C384" s="1" t="s">
        <v>8</v>
      </c>
      <c r="D384" s="5">
        <v>78.25</v>
      </c>
    </row>
    <row r="385" spans="2:4" x14ac:dyDescent="0.35">
      <c r="B385" s="4" t="s">
        <v>45</v>
      </c>
      <c r="C385" s="1" t="s">
        <v>12</v>
      </c>
      <c r="D385" s="5">
        <v>4</v>
      </c>
    </row>
    <row r="386" spans="2:4" x14ac:dyDescent="0.35">
      <c r="B386" s="4" t="s">
        <v>45</v>
      </c>
      <c r="C386" s="1" t="s">
        <v>50</v>
      </c>
      <c r="D386" s="5">
        <v>5</v>
      </c>
    </row>
    <row r="387" spans="2:4" x14ac:dyDescent="0.35">
      <c r="B387" s="4" t="s">
        <v>45</v>
      </c>
      <c r="C387" s="1" t="s">
        <v>51</v>
      </c>
      <c r="D387" s="6">
        <v>17.840000000000003</v>
      </c>
    </row>
    <row r="388" spans="2:4" x14ac:dyDescent="0.35">
      <c r="B388" s="4" t="s">
        <v>46</v>
      </c>
      <c r="C388" s="1" t="s">
        <v>2</v>
      </c>
      <c r="D388" s="5">
        <v>65</v>
      </c>
    </row>
    <row r="389" spans="2:4" x14ac:dyDescent="0.35">
      <c r="B389" s="4" t="s">
        <v>46</v>
      </c>
      <c r="C389" s="1" t="s">
        <v>7</v>
      </c>
      <c r="D389" s="5">
        <v>47</v>
      </c>
    </row>
    <row r="390" spans="2:4" x14ac:dyDescent="0.35">
      <c r="B390" s="4" t="s">
        <v>46</v>
      </c>
      <c r="C390" s="1" t="s">
        <v>4</v>
      </c>
      <c r="D390" s="5">
        <v>38</v>
      </c>
    </row>
    <row r="391" spans="2:4" x14ac:dyDescent="0.35">
      <c r="B391" s="4" t="s">
        <v>46</v>
      </c>
      <c r="C391" s="1" t="s">
        <v>9</v>
      </c>
      <c r="D391" s="5">
        <v>13</v>
      </c>
    </row>
    <row r="392" spans="2:4" x14ac:dyDescent="0.35">
      <c r="B392" s="4" t="s">
        <v>46</v>
      </c>
      <c r="C392" s="1" t="s">
        <v>3</v>
      </c>
      <c r="D392" s="5">
        <v>39</v>
      </c>
    </row>
    <row r="393" spans="2:4" x14ac:dyDescent="0.35">
      <c r="B393" s="4" t="s">
        <v>46</v>
      </c>
      <c r="C393" s="1" t="s">
        <v>10</v>
      </c>
      <c r="D393" s="5">
        <v>11</v>
      </c>
    </row>
    <row r="394" spans="2:4" x14ac:dyDescent="0.35">
      <c r="B394" s="4" t="s">
        <v>46</v>
      </c>
      <c r="C394" s="1" t="s">
        <v>6</v>
      </c>
      <c r="D394" s="5">
        <v>58</v>
      </c>
    </row>
    <row r="395" spans="2:4" x14ac:dyDescent="0.35">
      <c r="B395" s="4" t="s">
        <v>46</v>
      </c>
      <c r="C395" s="1" t="s">
        <v>11</v>
      </c>
      <c r="D395" s="5">
        <v>32</v>
      </c>
    </row>
    <row r="396" spans="2:4" x14ac:dyDescent="0.35">
      <c r="B396" s="4" t="s">
        <v>46</v>
      </c>
      <c r="C396" s="1" t="s">
        <v>8</v>
      </c>
      <c r="D396" s="5">
        <v>78.78</v>
      </c>
    </row>
    <row r="397" spans="2:4" x14ac:dyDescent="0.35">
      <c r="B397" s="4" t="s">
        <v>46</v>
      </c>
      <c r="C397" s="1" t="s">
        <v>12</v>
      </c>
      <c r="D397" s="5">
        <v>3</v>
      </c>
    </row>
    <row r="398" spans="2:4" x14ac:dyDescent="0.35">
      <c r="B398" s="4" t="s">
        <v>46</v>
      </c>
      <c r="C398" s="1" t="s">
        <v>50</v>
      </c>
      <c r="D398" s="5">
        <v>4</v>
      </c>
    </row>
    <row r="399" spans="2:4" x14ac:dyDescent="0.35">
      <c r="B399" s="4" t="s">
        <v>46</v>
      </c>
      <c r="C399" s="1" t="s">
        <v>51</v>
      </c>
      <c r="D399" s="6">
        <v>17.170000000000002</v>
      </c>
    </row>
    <row r="400" spans="2:4" x14ac:dyDescent="0.35">
      <c r="B400" s="4" t="s">
        <v>47</v>
      </c>
      <c r="C400" s="1" t="s">
        <v>2</v>
      </c>
      <c r="D400" s="5">
        <v>72</v>
      </c>
    </row>
    <row r="401" spans="2:4" x14ac:dyDescent="0.35">
      <c r="B401" s="4" t="s">
        <v>47</v>
      </c>
      <c r="C401" s="1" t="s">
        <v>7</v>
      </c>
      <c r="D401" s="5">
        <v>51</v>
      </c>
    </row>
    <row r="402" spans="2:4" x14ac:dyDescent="0.35">
      <c r="B402" s="4" t="s">
        <v>47</v>
      </c>
      <c r="C402" s="1" t="s">
        <v>4</v>
      </c>
      <c r="D402" s="5">
        <v>34</v>
      </c>
    </row>
    <row r="403" spans="2:4" x14ac:dyDescent="0.35">
      <c r="B403" s="4" t="s">
        <v>47</v>
      </c>
      <c r="C403" s="1" t="s">
        <v>9</v>
      </c>
      <c r="D403" s="5">
        <v>16</v>
      </c>
    </row>
    <row r="404" spans="2:4" x14ac:dyDescent="0.35">
      <c r="B404" s="4" t="s">
        <v>47</v>
      </c>
      <c r="C404" s="1" t="s">
        <v>3</v>
      </c>
      <c r="D404" s="5">
        <v>39</v>
      </c>
    </row>
    <row r="405" spans="2:4" x14ac:dyDescent="0.35">
      <c r="B405" s="4" t="s">
        <v>47</v>
      </c>
      <c r="C405" s="1" t="s">
        <v>10</v>
      </c>
      <c r="D405" s="5">
        <v>10</v>
      </c>
    </row>
    <row r="406" spans="2:4" x14ac:dyDescent="0.35">
      <c r="B406" s="4" t="s">
        <v>47</v>
      </c>
      <c r="C406" s="1" t="s">
        <v>6</v>
      </c>
      <c r="D406" s="5">
        <v>64</v>
      </c>
    </row>
    <row r="407" spans="2:4" x14ac:dyDescent="0.35">
      <c r="B407" s="4" t="s">
        <v>47</v>
      </c>
      <c r="C407" s="1" t="s">
        <v>11</v>
      </c>
      <c r="D407" s="5">
        <v>35</v>
      </c>
    </row>
    <row r="408" spans="2:4" x14ac:dyDescent="0.35">
      <c r="B408" s="4" t="s">
        <v>47</v>
      </c>
      <c r="C408" s="1" t="s">
        <v>8</v>
      </c>
      <c r="D408" s="5">
        <v>83.460000000000008</v>
      </c>
    </row>
    <row r="409" spans="2:4" x14ac:dyDescent="0.35">
      <c r="B409" s="4" t="s">
        <v>47</v>
      </c>
      <c r="C409" s="1" t="s">
        <v>12</v>
      </c>
      <c r="D409" s="5">
        <v>3</v>
      </c>
    </row>
    <row r="410" spans="2:4" x14ac:dyDescent="0.35">
      <c r="B410" s="4" t="s">
        <v>47</v>
      </c>
      <c r="C410" s="1" t="s">
        <v>50</v>
      </c>
      <c r="D410" s="5">
        <v>5</v>
      </c>
    </row>
    <row r="411" spans="2:4" x14ac:dyDescent="0.35">
      <c r="B411" s="4" t="s">
        <v>47</v>
      </c>
      <c r="C411" s="1" t="s">
        <v>51</v>
      </c>
      <c r="D411" s="6">
        <v>18.05</v>
      </c>
    </row>
    <row r="412" spans="2:4" x14ac:dyDescent="0.35">
      <c r="B412" s="4" t="s">
        <v>48</v>
      </c>
      <c r="C412" s="1" t="s">
        <v>2</v>
      </c>
      <c r="D412" s="5">
        <v>64</v>
      </c>
    </row>
    <row r="413" spans="2:4" x14ac:dyDescent="0.35">
      <c r="B413" s="4" t="s">
        <v>48</v>
      </c>
      <c r="C413" s="1" t="s">
        <v>7</v>
      </c>
      <c r="D413" s="5">
        <v>52</v>
      </c>
    </row>
    <row r="414" spans="2:4" x14ac:dyDescent="0.35">
      <c r="B414" s="4" t="s">
        <v>48</v>
      </c>
      <c r="C414" s="1" t="s">
        <v>4</v>
      </c>
      <c r="D414" s="5">
        <v>37</v>
      </c>
    </row>
    <row r="415" spans="2:4" x14ac:dyDescent="0.35">
      <c r="B415" s="4" t="s">
        <v>48</v>
      </c>
      <c r="C415" s="1" t="s">
        <v>9</v>
      </c>
      <c r="D415" s="5">
        <v>15</v>
      </c>
    </row>
    <row r="416" spans="2:4" x14ac:dyDescent="0.35">
      <c r="B416" s="4" t="s">
        <v>48</v>
      </c>
      <c r="C416" s="1" t="s">
        <v>3</v>
      </c>
      <c r="D416" s="5">
        <v>50</v>
      </c>
    </row>
    <row r="417" spans="2:4" x14ac:dyDescent="0.35">
      <c r="B417" s="4" t="s">
        <v>48</v>
      </c>
      <c r="C417" s="1" t="s">
        <v>10</v>
      </c>
      <c r="D417" s="5">
        <v>14</v>
      </c>
    </row>
    <row r="418" spans="2:4" x14ac:dyDescent="0.35">
      <c r="B418" s="4" t="s">
        <v>48</v>
      </c>
      <c r="C418" s="1" t="s">
        <v>6</v>
      </c>
      <c r="D418" s="5">
        <v>58</v>
      </c>
    </row>
    <row r="419" spans="2:4" x14ac:dyDescent="0.35">
      <c r="B419" s="4" t="s">
        <v>48</v>
      </c>
      <c r="C419" s="1" t="s">
        <v>11</v>
      </c>
      <c r="D419" s="5">
        <v>33</v>
      </c>
    </row>
    <row r="420" spans="2:4" x14ac:dyDescent="0.35">
      <c r="B420" s="4" t="s">
        <v>48</v>
      </c>
      <c r="C420" s="1" t="s">
        <v>8</v>
      </c>
      <c r="D420" s="5">
        <v>87.210000000000008</v>
      </c>
    </row>
    <row r="421" spans="2:4" x14ac:dyDescent="0.35">
      <c r="B421" s="4" t="s">
        <v>48</v>
      </c>
      <c r="C421" s="1" t="s">
        <v>12</v>
      </c>
      <c r="D421" s="5">
        <v>3</v>
      </c>
    </row>
    <row r="422" spans="2:4" x14ac:dyDescent="0.35">
      <c r="B422" s="4" t="s">
        <v>48</v>
      </c>
      <c r="C422" s="1" t="s">
        <v>50</v>
      </c>
      <c r="D422" s="5">
        <v>5</v>
      </c>
    </row>
    <row r="423" spans="2:4" x14ac:dyDescent="0.35">
      <c r="B423" s="4" t="s">
        <v>48</v>
      </c>
      <c r="C423" s="1" t="s">
        <v>51</v>
      </c>
      <c r="D423" s="6">
        <v>18.010000000000002</v>
      </c>
    </row>
    <row r="424" spans="2:4" x14ac:dyDescent="0.35">
      <c r="B424" s="4" t="s">
        <v>49</v>
      </c>
      <c r="C424" s="1" t="s">
        <v>2</v>
      </c>
      <c r="D424" s="5">
        <v>66</v>
      </c>
    </row>
    <row r="425" spans="2:4" x14ac:dyDescent="0.35">
      <c r="B425" s="4" t="s">
        <v>49</v>
      </c>
      <c r="C425" s="1" t="s">
        <v>7</v>
      </c>
      <c r="D425" s="5">
        <v>56</v>
      </c>
    </row>
    <row r="426" spans="2:4" x14ac:dyDescent="0.35">
      <c r="B426" s="4" t="s">
        <v>49</v>
      </c>
      <c r="C426" s="1" t="s">
        <v>4</v>
      </c>
      <c r="D426" s="5">
        <v>38</v>
      </c>
    </row>
    <row r="427" spans="2:4" x14ac:dyDescent="0.35">
      <c r="B427" s="4" t="s">
        <v>49</v>
      </c>
      <c r="C427" s="1" t="s">
        <v>9</v>
      </c>
      <c r="D427" s="5">
        <v>13</v>
      </c>
    </row>
    <row r="428" spans="2:4" x14ac:dyDescent="0.35">
      <c r="B428" s="4" t="s">
        <v>49</v>
      </c>
      <c r="C428" s="1" t="s">
        <v>3</v>
      </c>
      <c r="D428" s="5">
        <v>41</v>
      </c>
    </row>
    <row r="429" spans="2:4" x14ac:dyDescent="0.35">
      <c r="B429" s="4" t="s">
        <v>49</v>
      </c>
      <c r="C429" s="1" t="s">
        <v>10</v>
      </c>
      <c r="D429" s="5">
        <v>18</v>
      </c>
    </row>
    <row r="430" spans="2:4" x14ac:dyDescent="0.35">
      <c r="B430" s="4" t="s">
        <v>49</v>
      </c>
      <c r="C430" s="1" t="s">
        <v>6</v>
      </c>
      <c r="D430" s="5">
        <v>65</v>
      </c>
    </row>
    <row r="431" spans="2:4" x14ac:dyDescent="0.35">
      <c r="B431" s="4" t="s">
        <v>49</v>
      </c>
      <c r="C431" s="1" t="s">
        <v>11</v>
      </c>
      <c r="D431" s="5">
        <v>30</v>
      </c>
    </row>
    <row r="432" spans="2:4" x14ac:dyDescent="0.35">
      <c r="B432" s="4" t="s">
        <v>49</v>
      </c>
      <c r="C432" s="1" t="s">
        <v>8</v>
      </c>
      <c r="D432" s="5">
        <v>91.56</v>
      </c>
    </row>
    <row r="433" spans="2:4" x14ac:dyDescent="0.35">
      <c r="B433" s="4" t="s">
        <v>49</v>
      </c>
      <c r="C433" s="1" t="s">
        <v>12</v>
      </c>
      <c r="D433" s="5">
        <v>4</v>
      </c>
    </row>
    <row r="434" spans="2:4" x14ac:dyDescent="0.35">
      <c r="B434" s="4" t="s">
        <v>49</v>
      </c>
      <c r="C434" s="1" t="s">
        <v>50</v>
      </c>
      <c r="D434" s="5">
        <v>4</v>
      </c>
    </row>
    <row r="435" spans="2:4" x14ac:dyDescent="0.35">
      <c r="B435" s="4" t="s">
        <v>49</v>
      </c>
      <c r="C435" s="1" t="s">
        <v>51</v>
      </c>
      <c r="D435" s="6">
        <v>18.130000000000003</v>
      </c>
    </row>
    <row r="436" spans="2:4" x14ac:dyDescent="0.35">
      <c r="B436" t="s">
        <v>25</v>
      </c>
      <c r="C436" t="s">
        <v>52</v>
      </c>
      <c r="D436">
        <v>524</v>
      </c>
    </row>
    <row r="437" spans="2:4" x14ac:dyDescent="0.35">
      <c r="B437" t="s">
        <v>37</v>
      </c>
      <c r="C437" t="s">
        <v>52</v>
      </c>
      <c r="D437">
        <v>550</v>
      </c>
    </row>
    <row r="438" spans="2:4" x14ac:dyDescent="0.3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3"/>
  <sheetViews>
    <sheetView workbookViewId="0">
      <selection activeCell="D10" sqref="D10"/>
    </sheetView>
  </sheetViews>
  <sheetFormatPr defaultColWidth="9.1796875" defaultRowHeight="11.5" x14ac:dyDescent="0.25"/>
  <cols>
    <col min="1" max="1" width="2" style="2" customWidth="1"/>
    <col min="2" max="16384" width="9.1796875" style="2"/>
  </cols>
  <sheetData>
    <row r="13" spans="2:2" ht="37.5" x14ac:dyDescent="0.7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F438"/>
  <sheetViews>
    <sheetView workbookViewId="0">
      <selection activeCell="C5" sqref="C5"/>
    </sheetView>
  </sheetViews>
  <sheetFormatPr defaultRowHeight="14.5" x14ac:dyDescent="0.35"/>
  <cols>
    <col min="2" max="3" width="14.54296875" customWidth="1"/>
    <col min="4" max="4" width="38.1796875" customWidth="1"/>
    <col min="5" max="5" width="10.81640625" customWidth="1"/>
    <col min="6" max="6" width="17.90625" bestFit="1" customWidth="1"/>
  </cols>
  <sheetData>
    <row r="3" spans="2:6" x14ac:dyDescent="0.35">
      <c r="B3" t="s">
        <v>5</v>
      </c>
      <c r="C3" t="s">
        <v>53</v>
      </c>
      <c r="D3" t="s">
        <v>0</v>
      </c>
      <c r="E3" s="5" t="s">
        <v>1</v>
      </c>
      <c r="F3" t="s">
        <v>50</v>
      </c>
    </row>
    <row r="4" spans="2:6" x14ac:dyDescent="0.35">
      <c r="B4" s="4">
        <v>41640</v>
      </c>
      <c r="C4" s="1">
        <f>YEAR(B4)</f>
        <v>2014</v>
      </c>
      <c r="D4" s="1" t="s">
        <v>2</v>
      </c>
      <c r="E4" s="5">
        <v>72</v>
      </c>
      <c r="F4" t="s">
        <v>55</v>
      </c>
    </row>
    <row r="5" spans="2:6" x14ac:dyDescent="0.35">
      <c r="B5" s="4">
        <v>41640</v>
      </c>
      <c r="C5" s="1">
        <f t="shared" ref="C5:C68" si="0">YEAR(B5)</f>
        <v>2014</v>
      </c>
      <c r="D5" s="1" t="s">
        <v>7</v>
      </c>
      <c r="E5" s="5">
        <v>47</v>
      </c>
      <c r="F5" t="s">
        <v>54</v>
      </c>
    </row>
    <row r="6" spans="2:6" x14ac:dyDescent="0.35">
      <c r="B6" s="4">
        <v>41640</v>
      </c>
      <c r="C6" s="1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35">
      <c r="B7" s="4">
        <v>41640</v>
      </c>
      <c r="C7" s="1">
        <f t="shared" si="0"/>
        <v>2014</v>
      </c>
      <c r="D7" s="1" t="s">
        <v>9</v>
      </c>
      <c r="E7" s="5">
        <v>20</v>
      </c>
      <c r="F7" t="s">
        <v>54</v>
      </c>
    </row>
    <row r="8" spans="2:6" x14ac:dyDescent="0.35">
      <c r="B8" s="4">
        <v>41640</v>
      </c>
      <c r="C8" s="1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35">
      <c r="B9" s="4">
        <v>41640</v>
      </c>
      <c r="C9" s="1">
        <f t="shared" si="0"/>
        <v>2014</v>
      </c>
      <c r="D9" s="1" t="s">
        <v>10</v>
      </c>
      <c r="E9" s="5">
        <v>17</v>
      </c>
      <c r="F9" t="s">
        <v>54</v>
      </c>
    </row>
    <row r="10" spans="2:6" x14ac:dyDescent="0.35">
      <c r="B10" s="4">
        <v>41640</v>
      </c>
      <c r="C10" s="1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35">
      <c r="B11" s="4">
        <v>41640</v>
      </c>
      <c r="C11" s="1">
        <f t="shared" si="0"/>
        <v>2014</v>
      </c>
      <c r="D11" s="1" t="s">
        <v>11</v>
      </c>
      <c r="E11" s="5">
        <v>32</v>
      </c>
      <c r="F11" t="s">
        <v>54</v>
      </c>
    </row>
    <row r="12" spans="2:6" x14ac:dyDescent="0.35">
      <c r="B12" s="4">
        <v>41640</v>
      </c>
      <c r="C12" s="1">
        <f t="shared" si="0"/>
        <v>2014</v>
      </c>
      <c r="D12" s="1" t="s">
        <v>8</v>
      </c>
      <c r="E12" s="5">
        <v>95.399999999999991</v>
      </c>
      <c r="F12" t="s">
        <v>56</v>
      </c>
    </row>
    <row r="13" spans="2:6" x14ac:dyDescent="0.35">
      <c r="B13" s="4">
        <v>41640</v>
      </c>
      <c r="C13" s="1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35">
      <c r="B14" s="4">
        <v>41640</v>
      </c>
      <c r="C14" s="1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35">
      <c r="B15" s="4">
        <v>41640</v>
      </c>
      <c r="C15" s="1">
        <f t="shared" si="0"/>
        <v>2014</v>
      </c>
      <c r="D15" s="1" t="s">
        <v>51</v>
      </c>
      <c r="E15" s="6">
        <v>17.29</v>
      </c>
      <c r="F15" t="s">
        <v>51</v>
      </c>
    </row>
    <row r="16" spans="2:6" x14ac:dyDescent="0.35">
      <c r="B16" s="4">
        <v>41671</v>
      </c>
      <c r="C16" s="1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35">
      <c r="B17" s="4">
        <v>41671</v>
      </c>
      <c r="C17" s="1">
        <f t="shared" si="0"/>
        <v>2014</v>
      </c>
      <c r="D17" s="1" t="s">
        <v>7</v>
      </c>
      <c r="E17" s="5">
        <v>55</v>
      </c>
      <c r="F17" t="s">
        <v>54</v>
      </c>
    </row>
    <row r="18" spans="2:6" x14ac:dyDescent="0.35">
      <c r="B18" s="4">
        <v>41671</v>
      </c>
      <c r="C18" s="1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35">
      <c r="B19" s="4">
        <v>41671</v>
      </c>
      <c r="C19" s="1">
        <f t="shared" si="0"/>
        <v>2014</v>
      </c>
      <c r="D19" s="1" t="s">
        <v>9</v>
      </c>
      <c r="E19" s="5">
        <v>18</v>
      </c>
      <c r="F19" t="s">
        <v>54</v>
      </c>
    </row>
    <row r="20" spans="2:6" x14ac:dyDescent="0.35">
      <c r="B20" s="4">
        <v>41671</v>
      </c>
      <c r="C20" s="1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35">
      <c r="B21" s="4">
        <v>41671</v>
      </c>
      <c r="C21" s="1">
        <f t="shared" si="0"/>
        <v>2014</v>
      </c>
      <c r="D21" s="1" t="s">
        <v>10</v>
      </c>
      <c r="E21" s="5">
        <v>18</v>
      </c>
      <c r="F21" t="s">
        <v>54</v>
      </c>
    </row>
    <row r="22" spans="2:6" x14ac:dyDescent="0.35">
      <c r="B22" s="4">
        <v>41671</v>
      </c>
      <c r="C22" s="1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35">
      <c r="B23" s="4">
        <v>41671</v>
      </c>
      <c r="C23" s="1">
        <f t="shared" si="0"/>
        <v>2014</v>
      </c>
      <c r="D23" s="1" t="s">
        <v>11</v>
      </c>
      <c r="E23" s="5">
        <v>33</v>
      </c>
      <c r="F23" t="s">
        <v>54</v>
      </c>
    </row>
    <row r="24" spans="2:6" x14ac:dyDescent="0.35">
      <c r="B24" s="4">
        <v>41671</v>
      </c>
      <c r="C24" s="1">
        <f t="shared" si="0"/>
        <v>2014</v>
      </c>
      <c r="D24" s="1" t="s">
        <v>8</v>
      </c>
      <c r="E24" s="5">
        <v>96.3</v>
      </c>
      <c r="F24" t="s">
        <v>56</v>
      </c>
    </row>
    <row r="25" spans="2:6" x14ac:dyDescent="0.35">
      <c r="B25" s="4">
        <v>41671</v>
      </c>
      <c r="C25" s="1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35">
      <c r="B26" s="4">
        <v>41671</v>
      </c>
      <c r="C26" s="1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35">
      <c r="B27" s="4">
        <v>41671</v>
      </c>
      <c r="C27" s="1">
        <f t="shared" si="0"/>
        <v>2014</v>
      </c>
      <c r="D27" s="1" t="s">
        <v>51</v>
      </c>
      <c r="E27" s="6">
        <v>17</v>
      </c>
      <c r="F27" t="s">
        <v>51</v>
      </c>
    </row>
    <row r="28" spans="2:6" x14ac:dyDescent="0.35">
      <c r="B28" s="4">
        <v>41699</v>
      </c>
      <c r="C28" s="1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35">
      <c r="B29" s="4">
        <v>41699</v>
      </c>
      <c r="C29" s="1">
        <f t="shared" si="0"/>
        <v>2014</v>
      </c>
      <c r="D29" s="1" t="s">
        <v>7</v>
      </c>
      <c r="E29" s="5">
        <v>58</v>
      </c>
      <c r="F29" t="s">
        <v>54</v>
      </c>
    </row>
    <row r="30" spans="2:6" x14ac:dyDescent="0.35">
      <c r="B30" s="4">
        <v>41699</v>
      </c>
      <c r="C30" s="1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35">
      <c r="B31" s="4">
        <v>41699</v>
      </c>
      <c r="C31" s="1">
        <f t="shared" si="0"/>
        <v>2014</v>
      </c>
      <c r="D31" s="1" t="s">
        <v>9</v>
      </c>
      <c r="E31" s="5">
        <v>12</v>
      </c>
      <c r="F31" t="s">
        <v>54</v>
      </c>
    </row>
    <row r="32" spans="2:6" x14ac:dyDescent="0.35">
      <c r="B32" s="4">
        <v>41699</v>
      </c>
      <c r="C32" s="1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35">
      <c r="B33" s="4">
        <v>41699</v>
      </c>
      <c r="C33" s="1">
        <f t="shared" si="0"/>
        <v>2014</v>
      </c>
      <c r="D33" s="1" t="s">
        <v>10</v>
      </c>
      <c r="E33" s="5">
        <v>11</v>
      </c>
      <c r="F33" t="s">
        <v>54</v>
      </c>
    </row>
    <row r="34" spans="2:6" x14ac:dyDescent="0.35">
      <c r="B34" s="4">
        <v>41699</v>
      </c>
      <c r="C34" s="1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35">
      <c r="B35" s="4">
        <v>41699</v>
      </c>
      <c r="C35" s="1">
        <f t="shared" si="0"/>
        <v>2014</v>
      </c>
      <c r="D35" s="1" t="s">
        <v>11</v>
      </c>
      <c r="E35" s="5">
        <v>35</v>
      </c>
      <c r="F35" t="s">
        <v>54</v>
      </c>
    </row>
    <row r="36" spans="2:6" x14ac:dyDescent="0.35">
      <c r="B36" s="4">
        <v>41699</v>
      </c>
      <c r="C36" s="1">
        <f t="shared" si="0"/>
        <v>2014</v>
      </c>
      <c r="D36" s="1" t="s">
        <v>8</v>
      </c>
      <c r="E36" s="5">
        <v>96.6</v>
      </c>
      <c r="F36" t="s">
        <v>56</v>
      </c>
    </row>
    <row r="37" spans="2:6" x14ac:dyDescent="0.35">
      <c r="B37" s="4">
        <v>41699</v>
      </c>
      <c r="C37" s="1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35">
      <c r="B38" s="4">
        <v>41699</v>
      </c>
      <c r="C38" s="1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35">
      <c r="B39" s="4">
        <v>41699</v>
      </c>
      <c r="C39" s="1">
        <f t="shared" si="0"/>
        <v>2014</v>
      </c>
      <c r="D39" s="1" t="s">
        <v>51</v>
      </c>
      <c r="E39" s="6">
        <v>17.850000000000001</v>
      </c>
      <c r="F39" t="s">
        <v>51</v>
      </c>
    </row>
    <row r="40" spans="2:6" x14ac:dyDescent="0.35">
      <c r="B40" s="4">
        <v>41730</v>
      </c>
      <c r="C40" s="1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35">
      <c r="B41" s="4">
        <v>41730</v>
      </c>
      <c r="C41" s="1">
        <f t="shared" si="0"/>
        <v>2014</v>
      </c>
      <c r="D41" s="1" t="s">
        <v>7</v>
      </c>
      <c r="E41" s="5">
        <v>50</v>
      </c>
      <c r="F41" t="s">
        <v>54</v>
      </c>
    </row>
    <row r="42" spans="2:6" x14ac:dyDescent="0.35">
      <c r="B42" s="4">
        <v>41730</v>
      </c>
      <c r="C42" s="1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35">
      <c r="B43" s="4">
        <v>41730</v>
      </c>
      <c r="C43" s="1">
        <f t="shared" si="0"/>
        <v>2014</v>
      </c>
      <c r="D43" s="1" t="s">
        <v>9</v>
      </c>
      <c r="E43" s="5">
        <v>19</v>
      </c>
      <c r="F43" t="s">
        <v>54</v>
      </c>
    </row>
    <row r="44" spans="2:6" x14ac:dyDescent="0.35">
      <c r="B44" s="4">
        <v>41730</v>
      </c>
      <c r="C44" s="1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35">
      <c r="B45" s="4">
        <v>41730</v>
      </c>
      <c r="C45" s="1">
        <f t="shared" si="0"/>
        <v>2014</v>
      </c>
      <c r="D45" s="1" t="s">
        <v>10</v>
      </c>
      <c r="E45" s="5">
        <v>15</v>
      </c>
      <c r="F45" t="s">
        <v>54</v>
      </c>
    </row>
    <row r="46" spans="2:6" x14ac:dyDescent="0.35">
      <c r="B46" s="4">
        <v>41730</v>
      </c>
      <c r="C46" s="1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35">
      <c r="B47" s="4">
        <v>41730</v>
      </c>
      <c r="C47" s="1">
        <f t="shared" si="0"/>
        <v>2014</v>
      </c>
      <c r="D47" s="1" t="s">
        <v>11</v>
      </c>
      <c r="E47" s="5">
        <v>32</v>
      </c>
      <c r="F47" t="s">
        <v>54</v>
      </c>
    </row>
    <row r="48" spans="2:6" x14ac:dyDescent="0.35">
      <c r="B48" s="4">
        <v>41730</v>
      </c>
      <c r="C48" s="1">
        <f t="shared" si="0"/>
        <v>2014</v>
      </c>
      <c r="D48" s="1" t="s">
        <v>8</v>
      </c>
      <c r="E48" s="5">
        <v>99.52</v>
      </c>
      <c r="F48" t="s">
        <v>56</v>
      </c>
    </row>
    <row r="49" spans="2:6" x14ac:dyDescent="0.35">
      <c r="B49" s="4">
        <v>41730</v>
      </c>
      <c r="C49" s="1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35">
      <c r="B50" s="4">
        <v>41730</v>
      </c>
      <c r="C50" s="1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35">
      <c r="B51" s="4">
        <v>41730</v>
      </c>
      <c r="C51" s="1">
        <f t="shared" si="0"/>
        <v>2014</v>
      </c>
      <c r="D51" s="1" t="s">
        <v>51</v>
      </c>
      <c r="E51" s="6">
        <v>16.89</v>
      </c>
      <c r="F51" t="s">
        <v>51</v>
      </c>
    </row>
    <row r="52" spans="2:6" x14ac:dyDescent="0.35">
      <c r="B52" s="4">
        <v>41760</v>
      </c>
      <c r="C52" s="1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35">
      <c r="B53" s="4">
        <v>41760</v>
      </c>
      <c r="C53" s="1">
        <f t="shared" si="0"/>
        <v>2014</v>
      </c>
      <c r="D53" s="1" t="s">
        <v>7</v>
      </c>
      <c r="E53" s="5">
        <v>54</v>
      </c>
      <c r="F53" t="s">
        <v>54</v>
      </c>
    </row>
    <row r="54" spans="2:6" x14ac:dyDescent="0.35">
      <c r="B54" s="4">
        <v>41760</v>
      </c>
      <c r="C54" s="1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35">
      <c r="B55" s="4">
        <v>41760</v>
      </c>
      <c r="C55" s="1">
        <f t="shared" si="0"/>
        <v>2014</v>
      </c>
      <c r="D55" s="1" t="s">
        <v>9</v>
      </c>
      <c r="E55" s="5">
        <v>19</v>
      </c>
      <c r="F55" t="s">
        <v>54</v>
      </c>
    </row>
    <row r="56" spans="2:6" x14ac:dyDescent="0.35">
      <c r="B56" s="4">
        <v>41760</v>
      </c>
      <c r="C56" s="1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35">
      <c r="B57" s="4">
        <v>41760</v>
      </c>
      <c r="C57" s="1">
        <f t="shared" si="0"/>
        <v>2014</v>
      </c>
      <c r="D57" s="1" t="s">
        <v>10</v>
      </c>
      <c r="E57" s="5">
        <v>14</v>
      </c>
      <c r="F57" t="s">
        <v>54</v>
      </c>
    </row>
    <row r="58" spans="2:6" x14ac:dyDescent="0.35">
      <c r="B58" s="4">
        <v>41760</v>
      </c>
      <c r="C58" s="1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35">
      <c r="B59" s="4">
        <v>41760</v>
      </c>
      <c r="C59" s="1">
        <f t="shared" si="0"/>
        <v>2014</v>
      </c>
      <c r="D59" s="1" t="s">
        <v>11</v>
      </c>
      <c r="E59" s="5">
        <v>30</v>
      </c>
      <c r="F59" t="s">
        <v>54</v>
      </c>
    </row>
    <row r="60" spans="2:6" x14ac:dyDescent="0.35">
      <c r="B60" s="4">
        <v>41760</v>
      </c>
      <c r="C60" s="1">
        <f t="shared" si="0"/>
        <v>2014</v>
      </c>
      <c r="D60" s="1" t="s">
        <v>8</v>
      </c>
      <c r="E60" s="5">
        <v>105.92</v>
      </c>
      <c r="F60" t="s">
        <v>56</v>
      </c>
    </row>
    <row r="61" spans="2:6" x14ac:dyDescent="0.35">
      <c r="B61" s="4">
        <v>41760</v>
      </c>
      <c r="C61" s="1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35">
      <c r="B62" s="4">
        <v>41760</v>
      </c>
      <c r="C62" s="1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35">
      <c r="B63" s="4">
        <v>41760</v>
      </c>
      <c r="C63" s="1">
        <f t="shared" si="0"/>
        <v>2014</v>
      </c>
      <c r="D63" s="1" t="s">
        <v>51</v>
      </c>
      <c r="E63" s="6">
        <v>18.579999999999998</v>
      </c>
      <c r="F63" t="s">
        <v>51</v>
      </c>
    </row>
    <row r="64" spans="2:6" x14ac:dyDescent="0.35">
      <c r="B64" s="4">
        <v>41791</v>
      </c>
      <c r="C64" s="1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35">
      <c r="B65" s="4">
        <v>41791</v>
      </c>
      <c r="C65" s="1">
        <f t="shared" si="0"/>
        <v>2014</v>
      </c>
      <c r="D65" s="1" t="s">
        <v>7</v>
      </c>
      <c r="E65" s="5">
        <v>49</v>
      </c>
      <c r="F65" t="s">
        <v>54</v>
      </c>
    </row>
    <row r="66" spans="2:6" x14ac:dyDescent="0.35">
      <c r="B66" s="4">
        <v>41791</v>
      </c>
      <c r="C66" s="1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35">
      <c r="B67" s="4">
        <v>41791</v>
      </c>
      <c r="C67" s="1">
        <f t="shared" si="0"/>
        <v>2014</v>
      </c>
      <c r="D67" s="1" t="s">
        <v>9</v>
      </c>
      <c r="E67" s="5">
        <v>14</v>
      </c>
      <c r="F67" t="s">
        <v>54</v>
      </c>
    </row>
    <row r="68" spans="2:6" x14ac:dyDescent="0.35">
      <c r="B68" s="4">
        <v>41791</v>
      </c>
      <c r="C68" s="1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35">
      <c r="B69" s="4">
        <v>41791</v>
      </c>
      <c r="C69" s="1">
        <f t="shared" ref="C69:C132" si="1">YEAR(B69)</f>
        <v>2014</v>
      </c>
      <c r="D69" s="1" t="s">
        <v>10</v>
      </c>
      <c r="E69" s="5">
        <v>15</v>
      </c>
      <c r="F69" t="s">
        <v>54</v>
      </c>
    </row>
    <row r="70" spans="2:6" x14ac:dyDescent="0.35">
      <c r="B70" s="4">
        <v>41791</v>
      </c>
      <c r="C70" s="1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35">
      <c r="B71" s="4">
        <v>41791</v>
      </c>
      <c r="C71" s="1">
        <f t="shared" si="1"/>
        <v>2014</v>
      </c>
      <c r="D71" s="1" t="s">
        <v>11</v>
      </c>
      <c r="E71" s="5">
        <v>33</v>
      </c>
      <c r="F71" t="s">
        <v>54</v>
      </c>
    </row>
    <row r="72" spans="2:6" x14ac:dyDescent="0.35">
      <c r="B72" s="4">
        <v>41791</v>
      </c>
      <c r="C72" s="1">
        <f t="shared" si="1"/>
        <v>2014</v>
      </c>
      <c r="D72" s="1" t="s">
        <v>8</v>
      </c>
      <c r="E72" s="5">
        <v>93.12</v>
      </c>
      <c r="F72" t="s">
        <v>56</v>
      </c>
    </row>
    <row r="73" spans="2:6" x14ac:dyDescent="0.35">
      <c r="B73" s="4">
        <v>41791</v>
      </c>
      <c r="C73" s="1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35">
      <c r="B74" s="4">
        <v>41791</v>
      </c>
      <c r="C74" s="1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35">
      <c r="B75" s="4">
        <v>41791</v>
      </c>
      <c r="C75" s="1">
        <f t="shared" si="1"/>
        <v>2014</v>
      </c>
      <c r="D75" s="1" t="s">
        <v>51</v>
      </c>
      <c r="E75" s="6">
        <v>15.59</v>
      </c>
      <c r="F75" t="s">
        <v>51</v>
      </c>
    </row>
    <row r="76" spans="2:6" x14ac:dyDescent="0.35">
      <c r="B76" s="4">
        <v>41821</v>
      </c>
      <c r="C76" s="1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35">
      <c r="B77" s="4">
        <v>41821</v>
      </c>
      <c r="C77" s="1">
        <f t="shared" si="1"/>
        <v>2014</v>
      </c>
      <c r="D77" s="1" t="s">
        <v>7</v>
      </c>
      <c r="E77" s="5">
        <v>55</v>
      </c>
      <c r="F77" t="s">
        <v>54</v>
      </c>
    </row>
    <row r="78" spans="2:6" x14ac:dyDescent="0.35">
      <c r="B78" s="4">
        <v>41821</v>
      </c>
      <c r="C78" s="1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35">
      <c r="B79" s="4">
        <v>41821</v>
      </c>
      <c r="C79" s="1">
        <f t="shared" si="1"/>
        <v>2014</v>
      </c>
      <c r="D79" s="1" t="s">
        <v>9</v>
      </c>
      <c r="E79" s="5">
        <v>17</v>
      </c>
      <c r="F79" t="s">
        <v>54</v>
      </c>
    </row>
    <row r="80" spans="2:6" x14ac:dyDescent="0.35">
      <c r="B80" s="4">
        <v>41821</v>
      </c>
      <c r="C80" s="1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35">
      <c r="B81" s="4">
        <v>41821</v>
      </c>
      <c r="C81" s="1">
        <f t="shared" si="1"/>
        <v>2014</v>
      </c>
      <c r="D81" s="1" t="s">
        <v>10</v>
      </c>
      <c r="E81" s="5">
        <v>17</v>
      </c>
      <c r="F81" t="s">
        <v>54</v>
      </c>
    </row>
    <row r="82" spans="2:6" x14ac:dyDescent="0.35">
      <c r="B82" s="4">
        <v>41821</v>
      </c>
      <c r="C82" s="1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35">
      <c r="B83" s="4">
        <v>41821</v>
      </c>
      <c r="C83" s="1">
        <f t="shared" si="1"/>
        <v>2014</v>
      </c>
      <c r="D83" s="1" t="s">
        <v>11</v>
      </c>
      <c r="E83" s="5">
        <v>33</v>
      </c>
      <c r="F83" t="s">
        <v>54</v>
      </c>
    </row>
    <row r="84" spans="2:6" x14ac:dyDescent="0.35">
      <c r="B84" s="4">
        <v>41821</v>
      </c>
      <c r="C84" s="1">
        <f t="shared" si="1"/>
        <v>2014</v>
      </c>
      <c r="D84" s="1" t="s">
        <v>8</v>
      </c>
      <c r="E84" s="5">
        <v>114.58000000000001</v>
      </c>
      <c r="F84" t="s">
        <v>56</v>
      </c>
    </row>
    <row r="85" spans="2:6" x14ac:dyDescent="0.35">
      <c r="B85" s="4">
        <v>41821</v>
      </c>
      <c r="C85" s="1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35">
      <c r="B86" s="4">
        <v>41821</v>
      </c>
      <c r="C86" s="1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35">
      <c r="B87" s="4">
        <v>41821</v>
      </c>
      <c r="C87" s="1">
        <f t="shared" si="1"/>
        <v>2014</v>
      </c>
      <c r="D87" s="1" t="s">
        <v>51</v>
      </c>
      <c r="E87" s="6">
        <v>18.61</v>
      </c>
      <c r="F87" t="s">
        <v>51</v>
      </c>
    </row>
    <row r="88" spans="2:6" x14ac:dyDescent="0.35">
      <c r="B88" s="4">
        <v>41852</v>
      </c>
      <c r="C88" s="1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35">
      <c r="B89" s="4">
        <v>41852</v>
      </c>
      <c r="C89" s="1">
        <f t="shared" si="1"/>
        <v>2014</v>
      </c>
      <c r="D89" s="1" t="s">
        <v>7</v>
      </c>
      <c r="E89" s="5">
        <v>52</v>
      </c>
      <c r="F89" t="s">
        <v>54</v>
      </c>
    </row>
    <row r="90" spans="2:6" x14ac:dyDescent="0.35">
      <c r="B90" s="4">
        <v>41852</v>
      </c>
      <c r="C90" s="1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35">
      <c r="B91" s="4">
        <v>41852</v>
      </c>
      <c r="C91" s="1">
        <f t="shared" si="1"/>
        <v>2014</v>
      </c>
      <c r="D91" s="1" t="s">
        <v>9</v>
      </c>
      <c r="E91" s="5">
        <v>19</v>
      </c>
      <c r="F91" t="s">
        <v>54</v>
      </c>
    </row>
    <row r="92" spans="2:6" x14ac:dyDescent="0.35">
      <c r="B92" s="4">
        <v>41852</v>
      </c>
      <c r="C92" s="1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35">
      <c r="B93" s="4">
        <v>41852</v>
      </c>
      <c r="C93" s="1">
        <f t="shared" si="1"/>
        <v>2014</v>
      </c>
      <c r="D93" s="1" t="s">
        <v>10</v>
      </c>
      <c r="E93" s="5">
        <v>16</v>
      </c>
      <c r="F93" t="s">
        <v>54</v>
      </c>
    </row>
    <row r="94" spans="2:6" x14ac:dyDescent="0.35">
      <c r="B94" s="4">
        <v>41852</v>
      </c>
      <c r="C94" s="1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35">
      <c r="B95" s="4">
        <v>41852</v>
      </c>
      <c r="C95" s="1">
        <f t="shared" si="1"/>
        <v>2014</v>
      </c>
      <c r="D95" s="1" t="s">
        <v>11</v>
      </c>
      <c r="E95" s="5">
        <v>33</v>
      </c>
      <c r="F95" t="s">
        <v>54</v>
      </c>
    </row>
    <row r="96" spans="2:6" x14ac:dyDescent="0.35">
      <c r="B96" s="4">
        <v>41852</v>
      </c>
      <c r="C96" s="1">
        <f t="shared" si="1"/>
        <v>2014</v>
      </c>
      <c r="D96" s="1" t="s">
        <v>8</v>
      </c>
      <c r="E96" s="5">
        <v>104.38000000000001</v>
      </c>
      <c r="F96" t="s">
        <v>56</v>
      </c>
    </row>
    <row r="97" spans="2:6" x14ac:dyDescent="0.35">
      <c r="B97" s="4">
        <v>41852</v>
      </c>
      <c r="C97" s="1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35">
      <c r="B98" s="4">
        <v>41852</v>
      </c>
      <c r="C98" s="1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35">
      <c r="B99" s="4">
        <v>41852</v>
      </c>
      <c r="C99" s="1">
        <f t="shared" si="1"/>
        <v>2014</v>
      </c>
      <c r="D99" s="1" t="s">
        <v>51</v>
      </c>
      <c r="E99" s="6">
        <v>16.13</v>
      </c>
      <c r="F99" t="s">
        <v>51</v>
      </c>
    </row>
    <row r="100" spans="2:6" x14ac:dyDescent="0.35">
      <c r="B100" s="4">
        <v>41883</v>
      </c>
      <c r="C100" s="1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35">
      <c r="B101" s="4">
        <v>41883</v>
      </c>
      <c r="C101" s="1">
        <f t="shared" si="1"/>
        <v>2014</v>
      </c>
      <c r="D101" s="1" t="s">
        <v>7</v>
      </c>
      <c r="E101" s="5">
        <v>57</v>
      </c>
      <c r="F101" t="s">
        <v>54</v>
      </c>
    </row>
    <row r="102" spans="2:6" x14ac:dyDescent="0.35">
      <c r="B102" s="4">
        <v>41883</v>
      </c>
      <c r="C102" s="1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35">
      <c r="B103" s="4">
        <v>41883</v>
      </c>
      <c r="C103" s="1">
        <f t="shared" si="1"/>
        <v>2014</v>
      </c>
      <c r="D103" s="1" t="s">
        <v>9</v>
      </c>
      <c r="E103" s="5">
        <v>11</v>
      </c>
      <c r="F103" t="s">
        <v>54</v>
      </c>
    </row>
    <row r="104" spans="2:6" x14ac:dyDescent="0.35">
      <c r="B104" s="4">
        <v>41883</v>
      </c>
      <c r="C104" s="1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35">
      <c r="B105" s="4">
        <v>41883</v>
      </c>
      <c r="C105" s="1">
        <f t="shared" si="1"/>
        <v>2014</v>
      </c>
      <c r="D105" s="1" t="s">
        <v>10</v>
      </c>
      <c r="E105" s="5">
        <v>12</v>
      </c>
      <c r="F105" t="s">
        <v>54</v>
      </c>
    </row>
    <row r="106" spans="2:6" x14ac:dyDescent="0.35">
      <c r="B106" s="4">
        <v>41883</v>
      </c>
      <c r="C106" s="1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35">
      <c r="B107" s="4">
        <v>41883</v>
      </c>
      <c r="C107" s="1">
        <f t="shared" si="1"/>
        <v>2014</v>
      </c>
      <c r="D107" s="1" t="s">
        <v>11</v>
      </c>
      <c r="E107" s="5">
        <v>31</v>
      </c>
      <c r="F107" t="s">
        <v>54</v>
      </c>
    </row>
    <row r="108" spans="2:6" x14ac:dyDescent="0.35">
      <c r="B108" s="4">
        <v>41883</v>
      </c>
      <c r="C108" s="1">
        <f t="shared" si="1"/>
        <v>2014</v>
      </c>
      <c r="D108" s="1" t="s">
        <v>8</v>
      </c>
      <c r="E108" s="5">
        <v>108.5</v>
      </c>
      <c r="F108" t="s">
        <v>56</v>
      </c>
    </row>
    <row r="109" spans="2:6" x14ac:dyDescent="0.35">
      <c r="B109" s="4">
        <v>41883</v>
      </c>
      <c r="C109" s="1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35">
      <c r="B110" s="4">
        <v>41883</v>
      </c>
      <c r="C110" s="1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35">
      <c r="B111" s="4">
        <v>41883</v>
      </c>
      <c r="C111" s="1">
        <f t="shared" si="1"/>
        <v>2014</v>
      </c>
      <c r="D111" s="1" t="s">
        <v>51</v>
      </c>
      <c r="E111" s="6">
        <v>17.419999999999998</v>
      </c>
      <c r="F111" t="s">
        <v>51</v>
      </c>
    </row>
    <row r="112" spans="2:6" x14ac:dyDescent="0.35">
      <c r="B112" s="4">
        <v>41913</v>
      </c>
      <c r="C112" s="1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35">
      <c r="B113" s="4">
        <v>41913</v>
      </c>
      <c r="C113" s="1">
        <f t="shared" si="1"/>
        <v>2014</v>
      </c>
      <c r="D113" s="1" t="s">
        <v>7</v>
      </c>
      <c r="E113" s="5">
        <v>57</v>
      </c>
      <c r="F113" t="s">
        <v>54</v>
      </c>
    </row>
    <row r="114" spans="2:6" x14ac:dyDescent="0.35">
      <c r="B114" s="4">
        <v>41913</v>
      </c>
      <c r="C114" s="1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35">
      <c r="B115" s="4">
        <v>41913</v>
      </c>
      <c r="C115" s="1">
        <f t="shared" si="1"/>
        <v>2014</v>
      </c>
      <c r="D115" s="1" t="s">
        <v>9</v>
      </c>
      <c r="E115" s="5">
        <v>11</v>
      </c>
      <c r="F115" t="s">
        <v>54</v>
      </c>
    </row>
    <row r="116" spans="2:6" x14ac:dyDescent="0.35">
      <c r="B116" s="4">
        <v>41913</v>
      </c>
      <c r="C116" s="1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35">
      <c r="B117" s="4">
        <v>41913</v>
      </c>
      <c r="C117" s="1">
        <f t="shared" si="1"/>
        <v>2014</v>
      </c>
      <c r="D117" s="1" t="s">
        <v>10</v>
      </c>
      <c r="E117" s="5">
        <v>15</v>
      </c>
      <c r="F117" t="s">
        <v>54</v>
      </c>
    </row>
    <row r="118" spans="2:6" x14ac:dyDescent="0.35">
      <c r="B118" s="4">
        <v>41913</v>
      </c>
      <c r="C118" s="1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35">
      <c r="B119" s="4">
        <v>41913</v>
      </c>
      <c r="C119" s="1">
        <f t="shared" si="1"/>
        <v>2014</v>
      </c>
      <c r="D119" s="1" t="s">
        <v>11</v>
      </c>
      <c r="E119" s="5">
        <v>35</v>
      </c>
      <c r="F119" t="s">
        <v>54</v>
      </c>
    </row>
    <row r="120" spans="2:6" x14ac:dyDescent="0.35">
      <c r="B120" s="4">
        <v>41913</v>
      </c>
      <c r="C120" s="1">
        <f t="shared" si="1"/>
        <v>2014</v>
      </c>
      <c r="D120" s="1" t="s">
        <v>8</v>
      </c>
      <c r="E120" s="5">
        <v>97.03</v>
      </c>
      <c r="F120" t="s">
        <v>56</v>
      </c>
    </row>
    <row r="121" spans="2:6" x14ac:dyDescent="0.35">
      <c r="B121" s="4">
        <v>41913</v>
      </c>
      <c r="C121" s="1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35">
      <c r="B122" s="4">
        <v>41913</v>
      </c>
      <c r="C122" s="1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35">
      <c r="B123" s="4">
        <v>41913</v>
      </c>
      <c r="C123" s="1">
        <f t="shared" si="1"/>
        <v>2014</v>
      </c>
      <c r="D123" s="1" t="s">
        <v>51</v>
      </c>
      <c r="E123" s="6">
        <v>16.77</v>
      </c>
      <c r="F123" t="s">
        <v>51</v>
      </c>
    </row>
    <row r="124" spans="2:6" x14ac:dyDescent="0.35">
      <c r="B124" s="4">
        <v>41944</v>
      </c>
      <c r="C124" s="1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35">
      <c r="B125" s="4">
        <v>41944</v>
      </c>
      <c r="C125" s="1">
        <f t="shared" si="1"/>
        <v>2014</v>
      </c>
      <c r="D125" s="1" t="s">
        <v>7</v>
      </c>
      <c r="E125" s="5">
        <v>45</v>
      </c>
      <c r="F125" t="s">
        <v>54</v>
      </c>
    </row>
    <row r="126" spans="2:6" x14ac:dyDescent="0.35">
      <c r="B126" s="4">
        <v>41944</v>
      </c>
      <c r="C126" s="1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35">
      <c r="B127" s="4">
        <v>41944</v>
      </c>
      <c r="C127" s="1">
        <f t="shared" si="1"/>
        <v>2014</v>
      </c>
      <c r="D127" s="1" t="s">
        <v>9</v>
      </c>
      <c r="E127" s="5">
        <v>17</v>
      </c>
      <c r="F127" t="s">
        <v>54</v>
      </c>
    </row>
    <row r="128" spans="2:6" x14ac:dyDescent="0.35">
      <c r="B128" s="4">
        <v>41944</v>
      </c>
      <c r="C128" s="1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35">
      <c r="B129" s="4">
        <v>41944</v>
      </c>
      <c r="C129" s="1">
        <f t="shared" si="1"/>
        <v>2014</v>
      </c>
      <c r="D129" s="1" t="s">
        <v>10</v>
      </c>
      <c r="E129" s="5">
        <v>10</v>
      </c>
      <c r="F129" t="s">
        <v>54</v>
      </c>
    </row>
    <row r="130" spans="2:6" x14ac:dyDescent="0.35">
      <c r="B130" s="4">
        <v>41944</v>
      </c>
      <c r="C130" s="1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35">
      <c r="B131" s="4">
        <v>41944</v>
      </c>
      <c r="C131" s="1">
        <f t="shared" si="1"/>
        <v>2014</v>
      </c>
      <c r="D131" s="1" t="s">
        <v>11</v>
      </c>
      <c r="E131" s="5">
        <v>31</v>
      </c>
      <c r="F131" t="s">
        <v>54</v>
      </c>
    </row>
    <row r="132" spans="2:6" x14ac:dyDescent="0.35">
      <c r="B132" s="4">
        <v>41944</v>
      </c>
      <c r="C132" s="1">
        <f t="shared" si="1"/>
        <v>2014</v>
      </c>
      <c r="D132" s="1" t="s">
        <v>8</v>
      </c>
      <c r="E132" s="5">
        <v>97.600000000000009</v>
      </c>
      <c r="F132" t="s">
        <v>56</v>
      </c>
    </row>
    <row r="133" spans="2:6" x14ac:dyDescent="0.35">
      <c r="B133" s="4">
        <v>41944</v>
      </c>
      <c r="C133" s="1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35">
      <c r="B134" s="4">
        <v>41944</v>
      </c>
      <c r="C134" s="1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35">
      <c r="B135" s="4">
        <v>41944</v>
      </c>
      <c r="C135" s="1">
        <f t="shared" si="2"/>
        <v>2014</v>
      </c>
      <c r="D135" s="1" t="s">
        <v>51</v>
      </c>
      <c r="E135" s="6">
        <v>17.62</v>
      </c>
      <c r="F135" t="s">
        <v>51</v>
      </c>
    </row>
    <row r="136" spans="2:6" x14ac:dyDescent="0.35">
      <c r="B136" s="4">
        <v>41974</v>
      </c>
      <c r="C136" s="1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35">
      <c r="B137" s="4">
        <v>41974</v>
      </c>
      <c r="C137" s="1">
        <f t="shared" si="2"/>
        <v>2014</v>
      </c>
      <c r="D137" s="1" t="s">
        <v>7</v>
      </c>
      <c r="E137" s="5">
        <v>55</v>
      </c>
      <c r="F137" t="s">
        <v>54</v>
      </c>
    </row>
    <row r="138" spans="2:6" x14ac:dyDescent="0.35">
      <c r="B138" s="4">
        <v>41974</v>
      </c>
      <c r="C138" s="1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35">
      <c r="B139" s="4">
        <v>41974</v>
      </c>
      <c r="C139" s="1">
        <f t="shared" si="2"/>
        <v>2014</v>
      </c>
      <c r="D139" s="1" t="s">
        <v>9</v>
      </c>
      <c r="E139" s="5">
        <v>19</v>
      </c>
      <c r="F139" t="s">
        <v>54</v>
      </c>
    </row>
    <row r="140" spans="2:6" x14ac:dyDescent="0.35">
      <c r="B140" s="4">
        <v>41974</v>
      </c>
      <c r="C140" s="1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35">
      <c r="B141" s="4">
        <v>41974</v>
      </c>
      <c r="C141" s="1">
        <f t="shared" si="2"/>
        <v>2014</v>
      </c>
      <c r="D141" s="1" t="s">
        <v>10</v>
      </c>
      <c r="E141" s="5">
        <v>19</v>
      </c>
      <c r="F141" t="s">
        <v>54</v>
      </c>
    </row>
    <row r="142" spans="2:6" x14ac:dyDescent="0.35">
      <c r="B142" s="4">
        <v>41974</v>
      </c>
      <c r="C142" s="1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35">
      <c r="B143" s="4">
        <v>41974</v>
      </c>
      <c r="C143" s="1">
        <f t="shared" si="2"/>
        <v>2014</v>
      </c>
      <c r="D143" s="1" t="s">
        <v>11</v>
      </c>
      <c r="E143" s="5">
        <v>34</v>
      </c>
      <c r="F143" t="s">
        <v>54</v>
      </c>
    </row>
    <row r="144" spans="2:6" x14ac:dyDescent="0.35">
      <c r="B144" s="4">
        <v>41974</v>
      </c>
      <c r="C144" s="1">
        <f t="shared" si="2"/>
        <v>2014</v>
      </c>
      <c r="D144" s="1" t="s">
        <v>8</v>
      </c>
      <c r="E144" s="5">
        <v>103.23</v>
      </c>
      <c r="F144" t="s">
        <v>56</v>
      </c>
    </row>
    <row r="145" spans="2:6" x14ac:dyDescent="0.35">
      <c r="B145" s="4">
        <v>41974</v>
      </c>
      <c r="C145" s="1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35">
      <c r="B146" s="4">
        <v>41974</v>
      </c>
      <c r="C146" s="1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35">
      <c r="B147" s="4">
        <v>41974</v>
      </c>
      <c r="C147" s="1">
        <f t="shared" si="2"/>
        <v>2014</v>
      </c>
      <c r="D147" s="1" t="s">
        <v>51</v>
      </c>
      <c r="E147" s="6">
        <v>17.77</v>
      </c>
      <c r="F147" t="s">
        <v>51</v>
      </c>
    </row>
    <row r="148" spans="2:6" x14ac:dyDescent="0.35">
      <c r="B148" s="4">
        <v>42005</v>
      </c>
      <c r="C148" s="1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35">
      <c r="B149" s="4">
        <v>42005</v>
      </c>
      <c r="C149" s="1">
        <f t="shared" si="2"/>
        <v>2015</v>
      </c>
      <c r="D149" s="1" t="s">
        <v>7</v>
      </c>
      <c r="E149" s="5">
        <v>49</v>
      </c>
      <c r="F149" t="s">
        <v>54</v>
      </c>
    </row>
    <row r="150" spans="2:6" x14ac:dyDescent="0.35">
      <c r="B150" s="4">
        <v>42005</v>
      </c>
      <c r="C150" s="1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35">
      <c r="B151" s="4">
        <v>42005</v>
      </c>
      <c r="C151" s="1">
        <f t="shared" si="2"/>
        <v>2015</v>
      </c>
      <c r="D151" s="1" t="s">
        <v>9</v>
      </c>
      <c r="E151" s="5">
        <v>13</v>
      </c>
      <c r="F151" t="s">
        <v>54</v>
      </c>
    </row>
    <row r="152" spans="2:6" x14ac:dyDescent="0.35">
      <c r="B152" s="4">
        <v>42005</v>
      </c>
      <c r="C152" s="1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35">
      <c r="B153" s="4">
        <v>42005</v>
      </c>
      <c r="C153" s="1">
        <f t="shared" si="2"/>
        <v>2015</v>
      </c>
      <c r="D153" s="1" t="s">
        <v>10</v>
      </c>
      <c r="E153" s="5">
        <v>13</v>
      </c>
      <c r="F153" t="s">
        <v>54</v>
      </c>
    </row>
    <row r="154" spans="2:6" x14ac:dyDescent="0.35">
      <c r="B154" s="4">
        <v>42005</v>
      </c>
      <c r="C154" s="1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35">
      <c r="B155" s="4">
        <v>42005</v>
      </c>
      <c r="C155" s="1">
        <f t="shared" si="2"/>
        <v>2015</v>
      </c>
      <c r="D155" s="1" t="s">
        <v>11</v>
      </c>
      <c r="E155" s="5">
        <v>30</v>
      </c>
      <c r="F155" t="s">
        <v>54</v>
      </c>
    </row>
    <row r="156" spans="2:6" x14ac:dyDescent="0.35">
      <c r="B156" s="4">
        <v>42005</v>
      </c>
      <c r="C156" s="1">
        <f t="shared" si="2"/>
        <v>2015</v>
      </c>
      <c r="D156" s="1" t="s">
        <v>8</v>
      </c>
      <c r="E156" s="5">
        <v>107.10000000000001</v>
      </c>
      <c r="F156" t="s">
        <v>56</v>
      </c>
    </row>
    <row r="157" spans="2:6" x14ac:dyDescent="0.35">
      <c r="B157" s="4">
        <v>42005</v>
      </c>
      <c r="C157" s="1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35">
      <c r="B158" s="4">
        <v>42005</v>
      </c>
      <c r="C158" s="1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35">
      <c r="B159" s="4">
        <v>42005</v>
      </c>
      <c r="C159" s="1">
        <f t="shared" si="2"/>
        <v>2015</v>
      </c>
      <c r="D159" s="1" t="s">
        <v>51</v>
      </c>
      <c r="E159" s="6">
        <v>18.25</v>
      </c>
      <c r="F159" t="s">
        <v>51</v>
      </c>
    </row>
    <row r="160" spans="2:6" x14ac:dyDescent="0.35">
      <c r="B160" s="4">
        <v>42036</v>
      </c>
      <c r="C160" s="1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35">
      <c r="B161" s="4">
        <v>42036</v>
      </c>
      <c r="C161" s="1">
        <f t="shared" si="2"/>
        <v>2015</v>
      </c>
      <c r="D161" s="1" t="s">
        <v>7</v>
      </c>
      <c r="E161" s="5">
        <v>60</v>
      </c>
      <c r="F161" t="s">
        <v>54</v>
      </c>
    </row>
    <row r="162" spans="2:6" x14ac:dyDescent="0.35">
      <c r="B162" s="4">
        <v>42036</v>
      </c>
      <c r="C162" s="1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35">
      <c r="B163" s="4">
        <v>42036</v>
      </c>
      <c r="C163" s="1">
        <f t="shared" si="2"/>
        <v>2015</v>
      </c>
      <c r="D163" s="1" t="s">
        <v>9</v>
      </c>
      <c r="E163" s="5">
        <v>15</v>
      </c>
      <c r="F163" t="s">
        <v>54</v>
      </c>
    </row>
    <row r="164" spans="2:6" x14ac:dyDescent="0.35">
      <c r="B164" s="4">
        <v>42036</v>
      </c>
      <c r="C164" s="1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35">
      <c r="B165" s="4">
        <v>42036</v>
      </c>
      <c r="C165" s="1">
        <f t="shared" si="2"/>
        <v>2015</v>
      </c>
      <c r="D165" s="1" t="s">
        <v>10</v>
      </c>
      <c r="E165" s="5">
        <v>12</v>
      </c>
      <c r="F165" t="s">
        <v>54</v>
      </c>
    </row>
    <row r="166" spans="2:6" x14ac:dyDescent="0.35">
      <c r="B166" s="4">
        <v>42036</v>
      </c>
      <c r="C166" s="1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35">
      <c r="B167" s="4">
        <v>42036</v>
      </c>
      <c r="C167" s="1">
        <f t="shared" si="2"/>
        <v>2015</v>
      </c>
      <c r="D167" s="1" t="s">
        <v>11</v>
      </c>
      <c r="E167" s="5">
        <v>35</v>
      </c>
      <c r="F167" t="s">
        <v>54</v>
      </c>
    </row>
    <row r="168" spans="2:6" x14ac:dyDescent="0.35">
      <c r="B168" s="4">
        <v>42036</v>
      </c>
      <c r="C168" s="1">
        <f t="shared" si="2"/>
        <v>2015</v>
      </c>
      <c r="D168" s="1" t="s">
        <v>8</v>
      </c>
      <c r="E168" s="5">
        <v>107.2</v>
      </c>
      <c r="F168" t="s">
        <v>56</v>
      </c>
    </row>
    <row r="169" spans="2:6" x14ac:dyDescent="0.35">
      <c r="B169" s="4">
        <v>42036</v>
      </c>
      <c r="C169" s="1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35">
      <c r="B170" s="4">
        <v>42036</v>
      </c>
      <c r="C170" s="1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35">
      <c r="B171" s="4">
        <v>42036</v>
      </c>
      <c r="C171" s="1">
        <f t="shared" si="2"/>
        <v>2015</v>
      </c>
      <c r="D171" s="1" t="s">
        <v>51</v>
      </c>
      <c r="E171" s="6">
        <v>18.23</v>
      </c>
      <c r="F171" t="s">
        <v>51</v>
      </c>
    </row>
    <row r="172" spans="2:6" x14ac:dyDescent="0.35">
      <c r="B172" s="4">
        <v>42064</v>
      </c>
      <c r="C172" s="1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35">
      <c r="B173" s="4">
        <v>42064</v>
      </c>
      <c r="C173" s="1">
        <f t="shared" si="2"/>
        <v>2015</v>
      </c>
      <c r="D173" s="1" t="s">
        <v>7</v>
      </c>
      <c r="E173" s="5">
        <v>49</v>
      </c>
      <c r="F173" t="s">
        <v>54</v>
      </c>
    </row>
    <row r="174" spans="2:6" x14ac:dyDescent="0.35">
      <c r="B174" s="4">
        <v>42064</v>
      </c>
      <c r="C174" s="1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35">
      <c r="B175" s="4">
        <v>42064</v>
      </c>
      <c r="C175" s="1">
        <f t="shared" si="2"/>
        <v>2015</v>
      </c>
      <c r="D175" s="1" t="s">
        <v>9</v>
      </c>
      <c r="E175" s="5">
        <v>20</v>
      </c>
      <c r="F175" t="s">
        <v>54</v>
      </c>
    </row>
    <row r="176" spans="2:6" x14ac:dyDescent="0.35">
      <c r="B176" s="4">
        <v>42064</v>
      </c>
      <c r="C176" s="1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35">
      <c r="B177" s="4">
        <v>42064</v>
      </c>
      <c r="C177" s="1">
        <f t="shared" si="2"/>
        <v>2015</v>
      </c>
      <c r="D177" s="1" t="s">
        <v>10</v>
      </c>
      <c r="E177" s="5">
        <v>18</v>
      </c>
      <c r="F177" t="s">
        <v>54</v>
      </c>
    </row>
    <row r="178" spans="2:6" x14ac:dyDescent="0.35">
      <c r="B178" s="4">
        <v>42064</v>
      </c>
      <c r="C178" s="1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35">
      <c r="B179" s="4">
        <v>42064</v>
      </c>
      <c r="C179" s="1">
        <f t="shared" si="2"/>
        <v>2015</v>
      </c>
      <c r="D179" s="1" t="s">
        <v>11</v>
      </c>
      <c r="E179" s="5">
        <v>35</v>
      </c>
      <c r="F179" t="s">
        <v>54</v>
      </c>
    </row>
    <row r="180" spans="2:6" x14ac:dyDescent="0.35">
      <c r="B180" s="4">
        <v>42064</v>
      </c>
      <c r="C180" s="1">
        <f t="shared" si="2"/>
        <v>2015</v>
      </c>
      <c r="D180" s="1" t="s">
        <v>8</v>
      </c>
      <c r="E180" s="5">
        <v>104.28</v>
      </c>
      <c r="F180" t="s">
        <v>56</v>
      </c>
    </row>
    <row r="181" spans="2:6" x14ac:dyDescent="0.35">
      <c r="B181" s="4">
        <v>42064</v>
      </c>
      <c r="C181" s="1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35">
      <c r="B182" s="4">
        <v>42064</v>
      </c>
      <c r="C182" s="1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35">
      <c r="B183" s="4">
        <v>42064</v>
      </c>
      <c r="C183" s="1">
        <f t="shared" si="2"/>
        <v>2015</v>
      </c>
      <c r="D183" s="1" t="s">
        <v>51</v>
      </c>
      <c r="E183" s="6">
        <v>16.73</v>
      </c>
      <c r="F183" t="s">
        <v>51</v>
      </c>
    </row>
    <row r="184" spans="2:6" x14ac:dyDescent="0.35">
      <c r="B184" s="4">
        <v>42095</v>
      </c>
      <c r="C184" s="1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35">
      <c r="B185" s="4">
        <v>42095</v>
      </c>
      <c r="C185" s="1">
        <f t="shared" si="2"/>
        <v>2015</v>
      </c>
      <c r="D185" s="1" t="s">
        <v>7</v>
      </c>
      <c r="E185" s="5">
        <v>47</v>
      </c>
      <c r="F185" t="s">
        <v>54</v>
      </c>
    </row>
    <row r="186" spans="2:6" x14ac:dyDescent="0.35">
      <c r="B186" s="4">
        <v>42095</v>
      </c>
      <c r="C186" s="1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35">
      <c r="B187" s="4">
        <v>42095</v>
      </c>
      <c r="C187" s="1">
        <f t="shared" si="2"/>
        <v>2015</v>
      </c>
      <c r="D187" s="1" t="s">
        <v>9</v>
      </c>
      <c r="E187" s="5">
        <v>13</v>
      </c>
      <c r="F187" t="s">
        <v>54</v>
      </c>
    </row>
    <row r="188" spans="2:6" x14ac:dyDescent="0.35">
      <c r="B188" s="4">
        <v>42095</v>
      </c>
      <c r="C188" s="1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35">
      <c r="B189" s="4">
        <v>42095</v>
      </c>
      <c r="C189" s="1">
        <f t="shared" si="2"/>
        <v>2015</v>
      </c>
      <c r="D189" s="1" t="s">
        <v>10</v>
      </c>
      <c r="E189" s="5">
        <v>18</v>
      </c>
      <c r="F189" t="s">
        <v>54</v>
      </c>
    </row>
    <row r="190" spans="2:6" x14ac:dyDescent="0.35">
      <c r="B190" s="4">
        <v>42095</v>
      </c>
      <c r="C190" s="1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35">
      <c r="B191" s="4">
        <v>42095</v>
      </c>
      <c r="C191" s="1">
        <f t="shared" si="2"/>
        <v>2015</v>
      </c>
      <c r="D191" s="1" t="s">
        <v>11</v>
      </c>
      <c r="E191" s="5">
        <v>32</v>
      </c>
      <c r="F191" t="s">
        <v>54</v>
      </c>
    </row>
    <row r="192" spans="2:6" x14ac:dyDescent="0.35">
      <c r="B192" s="4">
        <v>42095</v>
      </c>
      <c r="C192" s="1">
        <f t="shared" si="2"/>
        <v>2015</v>
      </c>
      <c r="D192" s="1" t="s">
        <v>8</v>
      </c>
      <c r="E192" s="5">
        <v>105.69999999999999</v>
      </c>
      <c r="F192" t="s">
        <v>56</v>
      </c>
    </row>
    <row r="193" spans="2:6" x14ac:dyDescent="0.35">
      <c r="B193" s="4">
        <v>42095</v>
      </c>
      <c r="C193" s="1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35">
      <c r="B194" s="4">
        <v>42095</v>
      </c>
      <c r="C194" s="1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35">
      <c r="B195" s="4">
        <v>42095</v>
      </c>
      <c r="C195" s="1">
        <f t="shared" si="2"/>
        <v>2015</v>
      </c>
      <c r="D195" s="1" t="s">
        <v>51</v>
      </c>
      <c r="E195" s="6">
        <v>16.53</v>
      </c>
      <c r="F195" t="s">
        <v>51</v>
      </c>
    </row>
    <row r="196" spans="2:6" x14ac:dyDescent="0.35">
      <c r="B196" s="4">
        <v>42125</v>
      </c>
      <c r="C196" s="1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35">
      <c r="B197" s="4">
        <v>42125</v>
      </c>
      <c r="C197" s="1">
        <f t="shared" ref="C197:C260" si="3">YEAR(B197)</f>
        <v>2015</v>
      </c>
      <c r="D197" s="1" t="s">
        <v>7</v>
      </c>
      <c r="E197" s="5">
        <v>46</v>
      </c>
      <c r="F197" t="s">
        <v>54</v>
      </c>
    </row>
    <row r="198" spans="2:6" x14ac:dyDescent="0.35">
      <c r="B198" s="4">
        <v>42125</v>
      </c>
      <c r="C198" s="1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35">
      <c r="B199" s="4">
        <v>42125</v>
      </c>
      <c r="C199" s="1">
        <f t="shared" si="3"/>
        <v>2015</v>
      </c>
      <c r="D199" s="1" t="s">
        <v>9</v>
      </c>
      <c r="E199" s="5">
        <v>18</v>
      </c>
      <c r="F199" t="s">
        <v>54</v>
      </c>
    </row>
    <row r="200" spans="2:6" x14ac:dyDescent="0.35">
      <c r="B200" s="4">
        <v>42125</v>
      </c>
      <c r="C200" s="1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35">
      <c r="B201" s="4">
        <v>42125</v>
      </c>
      <c r="C201" s="1">
        <f t="shared" si="3"/>
        <v>2015</v>
      </c>
      <c r="D201" s="1" t="s">
        <v>10</v>
      </c>
      <c r="E201" s="5">
        <v>17</v>
      </c>
      <c r="F201" t="s">
        <v>54</v>
      </c>
    </row>
    <row r="202" spans="2:6" x14ac:dyDescent="0.35">
      <c r="B202" s="4">
        <v>42125</v>
      </c>
      <c r="C202" s="1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35">
      <c r="B203" s="4">
        <v>42125</v>
      </c>
      <c r="C203" s="1">
        <f t="shared" si="3"/>
        <v>2015</v>
      </c>
      <c r="D203" s="1" t="s">
        <v>11</v>
      </c>
      <c r="E203" s="5">
        <v>32</v>
      </c>
      <c r="F203" t="s">
        <v>54</v>
      </c>
    </row>
    <row r="204" spans="2:6" x14ac:dyDescent="0.35">
      <c r="B204" s="4">
        <v>42125</v>
      </c>
      <c r="C204" s="1">
        <f t="shared" si="3"/>
        <v>2015</v>
      </c>
      <c r="D204" s="1" t="s">
        <v>8</v>
      </c>
      <c r="E204" s="5">
        <v>109.44</v>
      </c>
      <c r="F204" t="s">
        <v>56</v>
      </c>
    </row>
    <row r="205" spans="2:6" x14ac:dyDescent="0.35">
      <c r="B205" s="4">
        <v>42125</v>
      </c>
      <c r="C205" s="1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35">
      <c r="B206" s="4">
        <v>42125</v>
      </c>
      <c r="C206" s="1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35">
      <c r="B207" s="4">
        <v>42125</v>
      </c>
      <c r="C207" s="1">
        <f t="shared" si="3"/>
        <v>2015</v>
      </c>
      <c r="D207" s="1" t="s">
        <v>51</v>
      </c>
      <c r="E207" s="6">
        <v>16.400000000000002</v>
      </c>
      <c r="F207" t="s">
        <v>51</v>
      </c>
    </row>
    <row r="208" spans="2:6" x14ac:dyDescent="0.35">
      <c r="B208" s="4">
        <v>42156</v>
      </c>
      <c r="C208" s="1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35">
      <c r="B209" s="4">
        <v>42156</v>
      </c>
      <c r="C209" s="1">
        <f t="shared" si="3"/>
        <v>2015</v>
      </c>
      <c r="D209" s="1" t="s">
        <v>7</v>
      </c>
      <c r="E209" s="5">
        <v>56</v>
      </c>
      <c r="F209" t="s">
        <v>54</v>
      </c>
    </row>
    <row r="210" spans="2:6" x14ac:dyDescent="0.35">
      <c r="B210" s="4">
        <v>42156</v>
      </c>
      <c r="C210" s="1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35">
      <c r="B211" s="4">
        <v>42156</v>
      </c>
      <c r="C211" s="1">
        <f t="shared" si="3"/>
        <v>2015</v>
      </c>
      <c r="D211" s="1" t="s">
        <v>9</v>
      </c>
      <c r="E211" s="5">
        <v>16</v>
      </c>
      <c r="F211" t="s">
        <v>54</v>
      </c>
    </row>
    <row r="212" spans="2:6" x14ac:dyDescent="0.35">
      <c r="B212" s="4">
        <v>42156</v>
      </c>
      <c r="C212" s="1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35">
      <c r="B213" s="4">
        <v>42156</v>
      </c>
      <c r="C213" s="1">
        <f t="shared" si="3"/>
        <v>2015</v>
      </c>
      <c r="D213" s="1" t="s">
        <v>10</v>
      </c>
      <c r="E213" s="5">
        <v>17</v>
      </c>
      <c r="F213" t="s">
        <v>54</v>
      </c>
    </row>
    <row r="214" spans="2:6" x14ac:dyDescent="0.35">
      <c r="B214" s="4">
        <v>42156</v>
      </c>
      <c r="C214" s="1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35">
      <c r="B215" s="4">
        <v>42156</v>
      </c>
      <c r="C215" s="1">
        <f t="shared" si="3"/>
        <v>2015</v>
      </c>
      <c r="D215" s="1" t="s">
        <v>11</v>
      </c>
      <c r="E215" s="5">
        <v>33</v>
      </c>
      <c r="F215" t="s">
        <v>54</v>
      </c>
    </row>
    <row r="216" spans="2:6" x14ac:dyDescent="0.35">
      <c r="B216" s="4">
        <v>42156</v>
      </c>
      <c r="C216" s="1">
        <f t="shared" si="3"/>
        <v>2015</v>
      </c>
      <c r="D216" s="1" t="s">
        <v>8</v>
      </c>
      <c r="E216" s="5">
        <v>104.78</v>
      </c>
      <c r="F216" t="s">
        <v>56</v>
      </c>
    </row>
    <row r="217" spans="2:6" x14ac:dyDescent="0.35">
      <c r="B217" s="4">
        <v>42156</v>
      </c>
      <c r="C217" s="1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35">
      <c r="B218" s="4">
        <v>42156</v>
      </c>
      <c r="C218" s="1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35">
      <c r="B219" s="4">
        <v>42156</v>
      </c>
      <c r="C219" s="1">
        <f t="shared" si="3"/>
        <v>2015</v>
      </c>
      <c r="D219" s="1" t="s">
        <v>51</v>
      </c>
      <c r="E219" s="6">
        <v>18.72</v>
      </c>
      <c r="F219" t="s">
        <v>51</v>
      </c>
    </row>
    <row r="220" spans="2:6" x14ac:dyDescent="0.35">
      <c r="B220" s="4">
        <v>42186</v>
      </c>
      <c r="C220" s="1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35">
      <c r="B221" s="4">
        <v>42186</v>
      </c>
      <c r="C221" s="1">
        <f t="shared" si="3"/>
        <v>2015</v>
      </c>
      <c r="D221" s="1" t="s">
        <v>7</v>
      </c>
      <c r="E221" s="5">
        <v>52</v>
      </c>
      <c r="F221" t="s">
        <v>54</v>
      </c>
    </row>
    <row r="222" spans="2:6" x14ac:dyDescent="0.35">
      <c r="B222" s="4">
        <v>42186</v>
      </c>
      <c r="C222" s="1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35">
      <c r="B223" s="4">
        <v>42186</v>
      </c>
      <c r="C223" s="1">
        <f t="shared" si="3"/>
        <v>2015</v>
      </c>
      <c r="D223" s="1" t="s">
        <v>9</v>
      </c>
      <c r="E223" s="5">
        <v>16</v>
      </c>
      <c r="F223" t="s">
        <v>54</v>
      </c>
    </row>
    <row r="224" spans="2:6" x14ac:dyDescent="0.35">
      <c r="B224" s="4">
        <v>42186</v>
      </c>
      <c r="C224" s="1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35">
      <c r="B225" s="4">
        <v>42186</v>
      </c>
      <c r="C225" s="1">
        <f t="shared" si="3"/>
        <v>2015</v>
      </c>
      <c r="D225" s="1" t="s">
        <v>10</v>
      </c>
      <c r="E225" s="5">
        <v>15</v>
      </c>
      <c r="F225" t="s">
        <v>54</v>
      </c>
    </row>
    <row r="226" spans="2:6" x14ac:dyDescent="0.35">
      <c r="B226" s="4">
        <v>42186</v>
      </c>
      <c r="C226" s="1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35">
      <c r="B227" s="4">
        <v>42186</v>
      </c>
      <c r="C227" s="1">
        <f t="shared" si="3"/>
        <v>2015</v>
      </c>
      <c r="D227" s="1" t="s">
        <v>11</v>
      </c>
      <c r="E227" s="5">
        <v>31</v>
      </c>
      <c r="F227" t="s">
        <v>54</v>
      </c>
    </row>
    <row r="228" spans="2:6" x14ac:dyDescent="0.35">
      <c r="B228" s="4">
        <v>42186</v>
      </c>
      <c r="C228" s="1">
        <f t="shared" si="3"/>
        <v>2015</v>
      </c>
      <c r="D228" s="1" t="s">
        <v>8</v>
      </c>
      <c r="E228" s="5">
        <v>99.2</v>
      </c>
      <c r="F228" t="s">
        <v>56</v>
      </c>
    </row>
    <row r="229" spans="2:6" x14ac:dyDescent="0.35">
      <c r="B229" s="4">
        <v>42186</v>
      </c>
      <c r="C229" s="1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35">
      <c r="B230" s="4">
        <v>42186</v>
      </c>
      <c r="C230" s="1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35">
      <c r="B231" s="4">
        <v>42186</v>
      </c>
      <c r="C231" s="1">
        <f t="shared" si="3"/>
        <v>2015</v>
      </c>
      <c r="D231" s="1" t="s">
        <v>51</v>
      </c>
      <c r="E231" s="6">
        <v>16.850000000000001</v>
      </c>
      <c r="F231" t="s">
        <v>51</v>
      </c>
    </row>
    <row r="232" spans="2:6" x14ac:dyDescent="0.35">
      <c r="B232" s="4">
        <v>42217</v>
      </c>
      <c r="C232" s="1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35">
      <c r="B233" s="4">
        <v>42217</v>
      </c>
      <c r="C233" s="1">
        <f t="shared" si="3"/>
        <v>2015</v>
      </c>
      <c r="D233" s="1" t="s">
        <v>7</v>
      </c>
      <c r="E233" s="5">
        <v>48</v>
      </c>
      <c r="F233" t="s">
        <v>54</v>
      </c>
    </row>
    <row r="234" spans="2:6" x14ac:dyDescent="0.35">
      <c r="B234" s="4">
        <v>42217</v>
      </c>
      <c r="C234" s="1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35">
      <c r="B235" s="4">
        <v>42217</v>
      </c>
      <c r="C235" s="1">
        <f t="shared" si="3"/>
        <v>2015</v>
      </c>
      <c r="D235" s="1" t="s">
        <v>9</v>
      </c>
      <c r="E235" s="5">
        <v>20</v>
      </c>
      <c r="F235" t="s">
        <v>54</v>
      </c>
    </row>
    <row r="236" spans="2:6" x14ac:dyDescent="0.35">
      <c r="B236" s="4">
        <v>42217</v>
      </c>
      <c r="C236" s="1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35">
      <c r="B237" s="4">
        <v>42217</v>
      </c>
      <c r="C237" s="1">
        <f t="shared" si="3"/>
        <v>2015</v>
      </c>
      <c r="D237" s="1" t="s">
        <v>10</v>
      </c>
      <c r="E237" s="5">
        <v>15</v>
      </c>
      <c r="F237" t="s">
        <v>54</v>
      </c>
    </row>
    <row r="238" spans="2:6" x14ac:dyDescent="0.35">
      <c r="B238" s="4">
        <v>42217</v>
      </c>
      <c r="C238" s="1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35">
      <c r="B239" s="4">
        <v>42217</v>
      </c>
      <c r="C239" s="1">
        <f t="shared" si="3"/>
        <v>2015</v>
      </c>
      <c r="D239" s="1" t="s">
        <v>11</v>
      </c>
      <c r="E239" s="5">
        <v>32</v>
      </c>
      <c r="F239" t="s">
        <v>54</v>
      </c>
    </row>
    <row r="240" spans="2:6" x14ac:dyDescent="0.35">
      <c r="B240" s="4">
        <v>42217</v>
      </c>
      <c r="C240" s="1">
        <f t="shared" si="3"/>
        <v>2015</v>
      </c>
      <c r="D240" s="1" t="s">
        <v>8</v>
      </c>
      <c r="E240" s="5">
        <v>104.47</v>
      </c>
      <c r="F240" t="s">
        <v>56</v>
      </c>
    </row>
    <row r="241" spans="2:6" x14ac:dyDescent="0.35">
      <c r="B241" s="4">
        <v>42217</v>
      </c>
      <c r="C241" s="1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35">
      <c r="B242" s="4">
        <v>42217</v>
      </c>
      <c r="C242" s="1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35">
      <c r="B243" s="4">
        <v>42217</v>
      </c>
      <c r="C243" s="1">
        <f t="shared" si="3"/>
        <v>2015</v>
      </c>
      <c r="D243" s="1" t="s">
        <v>51</v>
      </c>
      <c r="E243" s="6">
        <v>19.149999999999999</v>
      </c>
      <c r="F243" t="s">
        <v>51</v>
      </c>
    </row>
    <row r="244" spans="2:6" x14ac:dyDescent="0.35">
      <c r="B244" s="4">
        <v>42248</v>
      </c>
      <c r="C244" s="1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35">
      <c r="B245" s="4">
        <v>42248</v>
      </c>
      <c r="C245" s="1">
        <f t="shared" si="3"/>
        <v>2015</v>
      </c>
      <c r="D245" s="1" t="s">
        <v>7</v>
      </c>
      <c r="E245" s="5">
        <v>53</v>
      </c>
      <c r="F245" t="s">
        <v>54</v>
      </c>
    </row>
    <row r="246" spans="2:6" x14ac:dyDescent="0.35">
      <c r="B246" s="4">
        <v>42248</v>
      </c>
      <c r="C246" s="1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35">
      <c r="B247" s="4">
        <v>42248</v>
      </c>
      <c r="C247" s="1">
        <f t="shared" si="3"/>
        <v>2015</v>
      </c>
      <c r="D247" s="1" t="s">
        <v>9</v>
      </c>
      <c r="E247" s="5">
        <v>17</v>
      </c>
      <c r="F247" t="s">
        <v>54</v>
      </c>
    </row>
    <row r="248" spans="2:6" x14ac:dyDescent="0.35">
      <c r="B248" s="4">
        <v>42248</v>
      </c>
      <c r="C248" s="1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35">
      <c r="B249" s="4">
        <v>42248</v>
      </c>
      <c r="C249" s="1">
        <f t="shared" si="3"/>
        <v>2015</v>
      </c>
      <c r="D249" s="1" t="s">
        <v>10</v>
      </c>
      <c r="E249" s="5">
        <v>14</v>
      </c>
      <c r="F249" t="s">
        <v>54</v>
      </c>
    </row>
    <row r="250" spans="2:6" x14ac:dyDescent="0.35">
      <c r="B250" s="4">
        <v>42248</v>
      </c>
      <c r="C250" s="1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35">
      <c r="B251" s="4">
        <v>42248</v>
      </c>
      <c r="C251" s="1">
        <f t="shared" si="3"/>
        <v>2015</v>
      </c>
      <c r="D251" s="1" t="s">
        <v>11</v>
      </c>
      <c r="E251" s="5">
        <v>32</v>
      </c>
      <c r="F251" t="s">
        <v>54</v>
      </c>
    </row>
    <row r="252" spans="2:6" x14ac:dyDescent="0.35">
      <c r="B252" s="4">
        <v>42248</v>
      </c>
      <c r="C252" s="1">
        <f t="shared" si="3"/>
        <v>2015</v>
      </c>
      <c r="D252" s="1" t="s">
        <v>8</v>
      </c>
      <c r="E252" s="5">
        <v>96</v>
      </c>
      <c r="F252" t="s">
        <v>56</v>
      </c>
    </row>
    <row r="253" spans="2:6" x14ac:dyDescent="0.35">
      <c r="B253" s="4">
        <v>42248</v>
      </c>
      <c r="C253" s="1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35">
      <c r="B254" s="4">
        <v>42248</v>
      </c>
      <c r="C254" s="1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35">
      <c r="B255" s="4">
        <v>42248</v>
      </c>
      <c r="C255" s="1">
        <f t="shared" si="3"/>
        <v>2015</v>
      </c>
      <c r="D255" s="1" t="s">
        <v>51</v>
      </c>
      <c r="E255" s="6">
        <v>16</v>
      </c>
      <c r="F255" t="s">
        <v>51</v>
      </c>
    </row>
    <row r="256" spans="2:6" x14ac:dyDescent="0.35">
      <c r="B256" s="4">
        <v>42278</v>
      </c>
      <c r="C256" s="1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35">
      <c r="B257" s="4">
        <v>42278</v>
      </c>
      <c r="C257" s="1">
        <f t="shared" si="3"/>
        <v>2015</v>
      </c>
      <c r="D257" s="1" t="s">
        <v>7</v>
      </c>
      <c r="E257" s="5">
        <v>58</v>
      </c>
      <c r="F257" t="s">
        <v>54</v>
      </c>
    </row>
    <row r="258" spans="2:6" x14ac:dyDescent="0.35">
      <c r="B258" s="4">
        <v>42278</v>
      </c>
      <c r="C258" s="1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35">
      <c r="B259" s="4">
        <v>42278</v>
      </c>
      <c r="C259" s="1">
        <f t="shared" si="3"/>
        <v>2015</v>
      </c>
      <c r="D259" s="1" t="s">
        <v>9</v>
      </c>
      <c r="E259" s="5">
        <v>13</v>
      </c>
      <c r="F259" t="s">
        <v>54</v>
      </c>
    </row>
    <row r="260" spans="2:6" x14ac:dyDescent="0.35">
      <c r="B260" s="4">
        <v>42278</v>
      </c>
      <c r="C260" s="1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35">
      <c r="B261" s="4">
        <v>42278</v>
      </c>
      <c r="C261" s="1">
        <f t="shared" ref="C261:C324" si="4">YEAR(B261)</f>
        <v>2015</v>
      </c>
      <c r="D261" s="1" t="s">
        <v>10</v>
      </c>
      <c r="E261" s="5">
        <v>14</v>
      </c>
      <c r="F261" t="s">
        <v>54</v>
      </c>
    </row>
    <row r="262" spans="2:6" x14ac:dyDescent="0.35">
      <c r="B262" s="4">
        <v>42278</v>
      </c>
      <c r="C262" s="1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35">
      <c r="B263" s="4">
        <v>42278</v>
      </c>
      <c r="C263" s="1">
        <f t="shared" si="4"/>
        <v>2015</v>
      </c>
      <c r="D263" s="1" t="s">
        <v>11</v>
      </c>
      <c r="E263" s="5">
        <v>32</v>
      </c>
      <c r="F263" t="s">
        <v>54</v>
      </c>
    </row>
    <row r="264" spans="2:6" x14ac:dyDescent="0.35">
      <c r="B264" s="4">
        <v>42278</v>
      </c>
      <c r="C264" s="1">
        <f t="shared" si="4"/>
        <v>2015</v>
      </c>
      <c r="D264" s="1" t="s">
        <v>8</v>
      </c>
      <c r="E264" s="5">
        <v>106.59</v>
      </c>
      <c r="F264" t="s">
        <v>56</v>
      </c>
    </row>
    <row r="265" spans="2:6" x14ac:dyDescent="0.35">
      <c r="B265" s="4">
        <v>42278</v>
      </c>
      <c r="C265" s="1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35">
      <c r="B266" s="4">
        <v>42278</v>
      </c>
      <c r="C266" s="1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35">
      <c r="B267" s="4">
        <v>42278</v>
      </c>
      <c r="C267" s="1">
        <f t="shared" si="4"/>
        <v>2015</v>
      </c>
      <c r="D267" s="1" t="s">
        <v>51</v>
      </c>
      <c r="E267" s="6">
        <v>17.600000000000001</v>
      </c>
      <c r="F267" t="s">
        <v>51</v>
      </c>
    </row>
    <row r="268" spans="2:6" x14ac:dyDescent="0.35">
      <c r="B268" s="4">
        <v>42309</v>
      </c>
      <c r="C268" s="1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35">
      <c r="B269" s="4">
        <v>42309</v>
      </c>
      <c r="C269" s="1">
        <f t="shared" si="4"/>
        <v>2015</v>
      </c>
      <c r="D269" s="1" t="s">
        <v>7</v>
      </c>
      <c r="E269" s="5">
        <v>55</v>
      </c>
      <c r="F269" t="s">
        <v>54</v>
      </c>
    </row>
    <row r="270" spans="2:6" x14ac:dyDescent="0.35">
      <c r="B270" s="4">
        <v>42309</v>
      </c>
      <c r="C270" s="1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35">
      <c r="B271" s="4">
        <v>42309</v>
      </c>
      <c r="C271" s="1">
        <f t="shared" si="4"/>
        <v>2015</v>
      </c>
      <c r="D271" s="1" t="s">
        <v>9</v>
      </c>
      <c r="E271" s="5">
        <v>16</v>
      </c>
      <c r="F271" t="s">
        <v>54</v>
      </c>
    </row>
    <row r="272" spans="2:6" x14ac:dyDescent="0.35">
      <c r="B272" s="4">
        <v>42309</v>
      </c>
      <c r="C272" s="1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35">
      <c r="B273" s="4">
        <v>42309</v>
      </c>
      <c r="C273" s="1">
        <f t="shared" si="4"/>
        <v>2015</v>
      </c>
      <c r="D273" s="1" t="s">
        <v>10</v>
      </c>
      <c r="E273" s="5">
        <v>11</v>
      </c>
      <c r="F273" t="s">
        <v>54</v>
      </c>
    </row>
    <row r="274" spans="2:6" x14ac:dyDescent="0.35">
      <c r="B274" s="4">
        <v>42309</v>
      </c>
      <c r="C274" s="1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35">
      <c r="B275" s="4">
        <v>42309</v>
      </c>
      <c r="C275" s="1">
        <f t="shared" si="4"/>
        <v>2015</v>
      </c>
      <c r="D275" s="1" t="s">
        <v>11</v>
      </c>
      <c r="E275" s="5">
        <v>34</v>
      </c>
      <c r="F275" t="s">
        <v>54</v>
      </c>
    </row>
    <row r="276" spans="2:6" x14ac:dyDescent="0.35">
      <c r="B276" s="4">
        <v>42309</v>
      </c>
      <c r="C276" s="1">
        <f t="shared" si="4"/>
        <v>2015</v>
      </c>
      <c r="D276" s="1" t="s">
        <v>8</v>
      </c>
      <c r="E276" s="5">
        <v>99.52</v>
      </c>
      <c r="F276" t="s">
        <v>56</v>
      </c>
    </row>
    <row r="277" spans="2:6" x14ac:dyDescent="0.35">
      <c r="B277" s="4">
        <v>42309</v>
      </c>
      <c r="C277" s="1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35">
      <c r="B278" s="4">
        <v>42309</v>
      </c>
      <c r="C278" s="1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35">
      <c r="B279" s="4">
        <v>42309</v>
      </c>
      <c r="C279" s="1">
        <f t="shared" si="4"/>
        <v>2015</v>
      </c>
      <c r="D279" s="1" t="s">
        <v>51</v>
      </c>
      <c r="E279" s="6">
        <v>16.98</v>
      </c>
      <c r="F279" t="s">
        <v>51</v>
      </c>
    </row>
    <row r="280" spans="2:6" x14ac:dyDescent="0.35">
      <c r="B280" s="4">
        <v>42339</v>
      </c>
      <c r="C280" s="1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35">
      <c r="B281" s="4">
        <v>42339</v>
      </c>
      <c r="C281" s="1">
        <f t="shared" si="4"/>
        <v>2015</v>
      </c>
      <c r="D281" s="1" t="s">
        <v>7</v>
      </c>
      <c r="E281" s="5">
        <v>48</v>
      </c>
      <c r="F281" t="s">
        <v>54</v>
      </c>
    </row>
    <row r="282" spans="2:6" x14ac:dyDescent="0.35">
      <c r="B282" s="4">
        <v>42339</v>
      </c>
      <c r="C282" s="1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35">
      <c r="B283" s="4">
        <v>42339</v>
      </c>
      <c r="C283" s="1">
        <f t="shared" si="4"/>
        <v>2015</v>
      </c>
      <c r="D283" s="1" t="s">
        <v>9</v>
      </c>
      <c r="E283" s="5">
        <v>19</v>
      </c>
      <c r="F283" t="s">
        <v>54</v>
      </c>
    </row>
    <row r="284" spans="2:6" x14ac:dyDescent="0.35">
      <c r="B284" s="4">
        <v>42339</v>
      </c>
      <c r="C284" s="1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35">
      <c r="B285" s="4">
        <v>42339</v>
      </c>
      <c r="C285" s="1">
        <f t="shared" si="4"/>
        <v>2015</v>
      </c>
      <c r="D285" s="1" t="s">
        <v>10</v>
      </c>
      <c r="E285" s="5">
        <v>13</v>
      </c>
      <c r="F285" t="s">
        <v>54</v>
      </c>
    </row>
    <row r="286" spans="2:6" x14ac:dyDescent="0.35">
      <c r="B286" s="4">
        <v>42339</v>
      </c>
      <c r="C286" s="1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35">
      <c r="B287" s="4">
        <v>42339</v>
      </c>
      <c r="C287" s="1">
        <f t="shared" si="4"/>
        <v>2015</v>
      </c>
      <c r="D287" s="1" t="s">
        <v>11</v>
      </c>
      <c r="E287" s="5">
        <v>31</v>
      </c>
      <c r="F287" t="s">
        <v>54</v>
      </c>
    </row>
    <row r="288" spans="2:6" x14ac:dyDescent="0.35">
      <c r="B288" s="4">
        <v>42339</v>
      </c>
      <c r="C288" s="1">
        <f t="shared" si="4"/>
        <v>2015</v>
      </c>
      <c r="D288" s="1" t="s">
        <v>8</v>
      </c>
      <c r="E288" s="5">
        <v>101.06</v>
      </c>
      <c r="F288" t="s">
        <v>56</v>
      </c>
    </row>
    <row r="289" spans="2:6" x14ac:dyDescent="0.35">
      <c r="B289" s="4">
        <v>42339</v>
      </c>
      <c r="C289" s="1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35">
      <c r="B290" s="4">
        <v>42339</v>
      </c>
      <c r="C290" s="1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35">
      <c r="B291" s="4">
        <v>42339</v>
      </c>
      <c r="C291" s="1">
        <f t="shared" si="4"/>
        <v>2015</v>
      </c>
      <c r="D291" s="1" t="s">
        <v>51</v>
      </c>
      <c r="E291" s="6">
        <v>18.54</v>
      </c>
      <c r="F291" t="s">
        <v>51</v>
      </c>
    </row>
    <row r="292" spans="2:6" x14ac:dyDescent="0.35">
      <c r="B292" s="4">
        <v>42370</v>
      </c>
      <c r="C292" s="1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35">
      <c r="B293" s="4">
        <v>42370</v>
      </c>
      <c r="C293" s="1">
        <f t="shared" si="4"/>
        <v>2016</v>
      </c>
      <c r="D293" s="1" t="s">
        <v>7</v>
      </c>
      <c r="E293" s="5">
        <v>47</v>
      </c>
      <c r="F293" t="s">
        <v>54</v>
      </c>
    </row>
    <row r="294" spans="2:6" x14ac:dyDescent="0.35">
      <c r="B294" s="4">
        <v>42370</v>
      </c>
      <c r="C294" s="1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35">
      <c r="B295" s="4">
        <v>42370</v>
      </c>
      <c r="C295" s="1">
        <f t="shared" si="4"/>
        <v>2016</v>
      </c>
      <c r="D295" s="1" t="s">
        <v>9</v>
      </c>
      <c r="E295" s="5">
        <v>17</v>
      </c>
      <c r="F295" t="s">
        <v>54</v>
      </c>
    </row>
    <row r="296" spans="2:6" x14ac:dyDescent="0.35">
      <c r="B296" s="4">
        <v>42370</v>
      </c>
      <c r="C296" s="1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35">
      <c r="B297" s="4">
        <v>42370</v>
      </c>
      <c r="C297" s="1">
        <f t="shared" si="4"/>
        <v>2016</v>
      </c>
      <c r="D297" s="1" t="s">
        <v>10</v>
      </c>
      <c r="E297" s="5">
        <v>11</v>
      </c>
      <c r="F297" t="s">
        <v>54</v>
      </c>
    </row>
    <row r="298" spans="2:6" x14ac:dyDescent="0.35">
      <c r="B298" s="4">
        <v>42370</v>
      </c>
      <c r="C298" s="1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35">
      <c r="B299" s="4">
        <v>42370</v>
      </c>
      <c r="C299" s="1">
        <f t="shared" si="4"/>
        <v>2016</v>
      </c>
      <c r="D299" s="1" t="s">
        <v>11</v>
      </c>
      <c r="E299" s="5">
        <v>35</v>
      </c>
      <c r="F299" t="s">
        <v>54</v>
      </c>
    </row>
    <row r="300" spans="2:6" x14ac:dyDescent="0.35">
      <c r="B300" s="4">
        <v>42370</v>
      </c>
      <c r="C300" s="1">
        <f t="shared" si="4"/>
        <v>2016</v>
      </c>
      <c r="D300" s="1" t="s">
        <v>8</v>
      </c>
      <c r="E300" s="5">
        <v>88.16</v>
      </c>
      <c r="F300" t="s">
        <v>56</v>
      </c>
    </row>
    <row r="301" spans="2:6" x14ac:dyDescent="0.35">
      <c r="B301" s="4">
        <v>42370</v>
      </c>
      <c r="C301" s="1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35">
      <c r="B302" s="4">
        <v>42370</v>
      </c>
      <c r="C302" s="1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35">
      <c r="B303" s="4">
        <v>42370</v>
      </c>
      <c r="C303" s="1">
        <f t="shared" si="4"/>
        <v>2016</v>
      </c>
      <c r="D303" s="1" t="s">
        <v>51</v>
      </c>
      <c r="E303" s="6">
        <v>16.8</v>
      </c>
      <c r="F303" t="s">
        <v>51</v>
      </c>
    </row>
    <row r="304" spans="2:6" x14ac:dyDescent="0.35">
      <c r="B304" s="4">
        <v>42401</v>
      </c>
      <c r="C304" s="1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35">
      <c r="B305" s="4">
        <v>42401</v>
      </c>
      <c r="C305" s="1">
        <f t="shared" si="4"/>
        <v>2016</v>
      </c>
      <c r="D305" s="1" t="s">
        <v>7</v>
      </c>
      <c r="E305" s="5">
        <v>57</v>
      </c>
      <c r="F305" t="s">
        <v>54</v>
      </c>
    </row>
    <row r="306" spans="2:6" x14ac:dyDescent="0.35">
      <c r="B306" s="4">
        <v>42401</v>
      </c>
      <c r="C306" s="1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35">
      <c r="B307" s="4">
        <v>42401</v>
      </c>
      <c r="C307" s="1">
        <f t="shared" si="4"/>
        <v>2016</v>
      </c>
      <c r="D307" s="1" t="s">
        <v>9</v>
      </c>
      <c r="E307" s="5">
        <v>16</v>
      </c>
      <c r="F307" t="s">
        <v>54</v>
      </c>
    </row>
    <row r="308" spans="2:6" x14ac:dyDescent="0.35">
      <c r="B308" s="4">
        <v>42401</v>
      </c>
      <c r="C308" s="1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35">
      <c r="B309" s="4">
        <v>42401</v>
      </c>
      <c r="C309" s="1">
        <f t="shared" si="4"/>
        <v>2016</v>
      </c>
      <c r="D309" s="1" t="s">
        <v>10</v>
      </c>
      <c r="E309" s="5">
        <v>19</v>
      </c>
      <c r="F309" t="s">
        <v>54</v>
      </c>
    </row>
    <row r="310" spans="2:6" x14ac:dyDescent="0.35">
      <c r="B310" s="4">
        <v>42401</v>
      </c>
      <c r="C310" s="1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35">
      <c r="B311" s="4">
        <v>42401</v>
      </c>
      <c r="C311" s="1">
        <f t="shared" si="4"/>
        <v>2016</v>
      </c>
      <c r="D311" s="1" t="s">
        <v>11</v>
      </c>
      <c r="E311" s="5">
        <v>35</v>
      </c>
      <c r="F311" t="s">
        <v>54</v>
      </c>
    </row>
    <row r="312" spans="2:6" x14ac:dyDescent="0.35">
      <c r="B312" s="4">
        <v>42401</v>
      </c>
      <c r="C312" s="1">
        <f t="shared" si="4"/>
        <v>2016</v>
      </c>
      <c r="D312" s="1" t="s">
        <v>8</v>
      </c>
      <c r="E312" s="5">
        <v>96.86</v>
      </c>
      <c r="F312" t="s">
        <v>56</v>
      </c>
    </row>
    <row r="313" spans="2:6" x14ac:dyDescent="0.35">
      <c r="B313" s="4">
        <v>42401</v>
      </c>
      <c r="C313" s="1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35">
      <c r="B314" s="4">
        <v>42401</v>
      </c>
      <c r="C314" s="1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35">
      <c r="B315" s="4">
        <v>42401</v>
      </c>
      <c r="C315" s="1">
        <f t="shared" si="4"/>
        <v>2016</v>
      </c>
      <c r="D315" s="1" t="s">
        <v>51</v>
      </c>
      <c r="E315" s="6">
        <v>17.899999999999999</v>
      </c>
      <c r="F315" t="s">
        <v>51</v>
      </c>
    </row>
    <row r="316" spans="2:6" x14ac:dyDescent="0.35">
      <c r="B316" s="4">
        <v>42430</v>
      </c>
      <c r="C316" s="1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35">
      <c r="B317" s="4">
        <v>42430</v>
      </c>
      <c r="C317" s="1">
        <f t="shared" si="4"/>
        <v>2016</v>
      </c>
      <c r="D317" s="1" t="s">
        <v>7</v>
      </c>
      <c r="E317" s="5">
        <v>52</v>
      </c>
      <c r="F317" t="s">
        <v>54</v>
      </c>
    </row>
    <row r="318" spans="2:6" x14ac:dyDescent="0.35">
      <c r="B318" s="4">
        <v>42430</v>
      </c>
      <c r="C318" s="1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35">
      <c r="B319" s="4">
        <v>42430</v>
      </c>
      <c r="C319" s="1">
        <f t="shared" si="4"/>
        <v>2016</v>
      </c>
      <c r="D319" s="1" t="s">
        <v>9</v>
      </c>
      <c r="E319" s="5">
        <v>13</v>
      </c>
      <c r="F319" t="s">
        <v>54</v>
      </c>
    </row>
    <row r="320" spans="2:6" x14ac:dyDescent="0.35">
      <c r="B320" s="4">
        <v>42430</v>
      </c>
      <c r="C320" s="1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35">
      <c r="B321" s="4">
        <v>42430</v>
      </c>
      <c r="C321" s="1">
        <f t="shared" si="4"/>
        <v>2016</v>
      </c>
      <c r="D321" s="1" t="s">
        <v>10</v>
      </c>
      <c r="E321" s="5">
        <v>17</v>
      </c>
      <c r="F321" t="s">
        <v>54</v>
      </c>
    </row>
    <row r="322" spans="2:6" x14ac:dyDescent="0.35">
      <c r="B322" s="4">
        <v>42430</v>
      </c>
      <c r="C322" s="1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35">
      <c r="B323" s="4">
        <v>42430</v>
      </c>
      <c r="C323" s="1">
        <f t="shared" si="4"/>
        <v>2016</v>
      </c>
      <c r="D323" s="1" t="s">
        <v>11</v>
      </c>
      <c r="E323" s="5">
        <v>31</v>
      </c>
      <c r="F323" t="s">
        <v>54</v>
      </c>
    </row>
    <row r="324" spans="2:6" x14ac:dyDescent="0.35">
      <c r="B324" s="4">
        <v>42430</v>
      </c>
      <c r="C324" s="1">
        <f t="shared" si="4"/>
        <v>2016</v>
      </c>
      <c r="D324" s="1" t="s">
        <v>8</v>
      </c>
      <c r="E324" s="5">
        <v>87.58</v>
      </c>
      <c r="F324" t="s">
        <v>56</v>
      </c>
    </row>
    <row r="325" spans="2:6" x14ac:dyDescent="0.35">
      <c r="B325" s="4">
        <v>42430</v>
      </c>
      <c r="C325" s="1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35">
      <c r="B326" s="4">
        <v>42430</v>
      </c>
      <c r="C326" s="1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35">
      <c r="B327" s="4">
        <v>42430</v>
      </c>
      <c r="C327" s="1">
        <f t="shared" si="5"/>
        <v>2016</v>
      </c>
      <c r="D327" s="1" t="s">
        <v>51</v>
      </c>
      <c r="E327" s="6">
        <v>16.490000000000002</v>
      </c>
      <c r="F327" t="s">
        <v>51</v>
      </c>
    </row>
    <row r="328" spans="2:6" x14ac:dyDescent="0.35">
      <c r="B328" s="4">
        <v>42461</v>
      </c>
      <c r="C328" s="1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35">
      <c r="B329" s="4">
        <v>42461</v>
      </c>
      <c r="C329" s="1">
        <f t="shared" si="5"/>
        <v>2016</v>
      </c>
      <c r="D329" s="1" t="s">
        <v>7</v>
      </c>
      <c r="E329" s="5">
        <v>48</v>
      </c>
      <c r="F329" t="s">
        <v>54</v>
      </c>
    </row>
    <row r="330" spans="2:6" x14ac:dyDescent="0.35">
      <c r="B330" s="4">
        <v>42461</v>
      </c>
      <c r="C330" s="1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35">
      <c r="B331" s="4">
        <v>42461</v>
      </c>
      <c r="C331" s="1">
        <f t="shared" si="5"/>
        <v>2016</v>
      </c>
      <c r="D331" s="1" t="s">
        <v>9</v>
      </c>
      <c r="E331" s="5">
        <v>20</v>
      </c>
      <c r="F331" t="s">
        <v>54</v>
      </c>
    </row>
    <row r="332" spans="2:6" x14ac:dyDescent="0.35">
      <c r="B332" s="4">
        <v>42461</v>
      </c>
      <c r="C332" s="1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35">
      <c r="B333" s="4">
        <v>42461</v>
      </c>
      <c r="C333" s="1">
        <f t="shared" si="5"/>
        <v>2016</v>
      </c>
      <c r="D333" s="1" t="s">
        <v>10</v>
      </c>
      <c r="E333" s="5">
        <v>11</v>
      </c>
      <c r="F333" t="s">
        <v>54</v>
      </c>
    </row>
    <row r="334" spans="2:6" x14ac:dyDescent="0.35">
      <c r="B334" s="4">
        <v>42461</v>
      </c>
      <c r="C334" s="1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35">
      <c r="B335" s="4">
        <v>42461</v>
      </c>
      <c r="C335" s="1">
        <f t="shared" si="5"/>
        <v>2016</v>
      </c>
      <c r="D335" s="1" t="s">
        <v>11</v>
      </c>
      <c r="E335" s="5">
        <v>30</v>
      </c>
      <c r="F335" t="s">
        <v>54</v>
      </c>
    </row>
    <row r="336" spans="2:6" x14ac:dyDescent="0.35">
      <c r="B336" s="4">
        <v>42461</v>
      </c>
      <c r="C336" s="1">
        <f t="shared" si="5"/>
        <v>2016</v>
      </c>
      <c r="D336" s="1" t="s">
        <v>8</v>
      </c>
      <c r="E336" s="5">
        <v>80.73</v>
      </c>
      <c r="F336" t="s">
        <v>56</v>
      </c>
    </row>
    <row r="337" spans="2:6" x14ac:dyDescent="0.35">
      <c r="B337" s="4">
        <v>42461</v>
      </c>
      <c r="C337" s="1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35">
      <c r="B338" s="4">
        <v>42461</v>
      </c>
      <c r="C338" s="1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35">
      <c r="B339" s="4">
        <v>42461</v>
      </c>
      <c r="C339" s="1">
        <f t="shared" si="5"/>
        <v>2016</v>
      </c>
      <c r="D339" s="1" t="s">
        <v>51</v>
      </c>
      <c r="E339" s="6">
        <v>16.54</v>
      </c>
      <c r="F339" t="s">
        <v>51</v>
      </c>
    </row>
    <row r="340" spans="2:6" x14ac:dyDescent="0.35">
      <c r="B340" s="4">
        <v>42491</v>
      </c>
      <c r="C340" s="1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35">
      <c r="B341" s="4">
        <v>42491</v>
      </c>
      <c r="C341" s="1">
        <f t="shared" si="5"/>
        <v>2016</v>
      </c>
      <c r="D341" s="1" t="s">
        <v>7</v>
      </c>
      <c r="E341" s="5">
        <v>58</v>
      </c>
      <c r="F341" t="s">
        <v>54</v>
      </c>
    </row>
    <row r="342" spans="2:6" x14ac:dyDescent="0.35">
      <c r="B342" s="4">
        <v>42491</v>
      </c>
      <c r="C342" s="1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35">
      <c r="B343" s="4">
        <v>42491</v>
      </c>
      <c r="C343" s="1">
        <f t="shared" si="5"/>
        <v>2016</v>
      </c>
      <c r="D343" s="1" t="s">
        <v>9</v>
      </c>
      <c r="E343" s="5">
        <v>13</v>
      </c>
      <c r="F343" t="s">
        <v>54</v>
      </c>
    </row>
    <row r="344" spans="2:6" x14ac:dyDescent="0.35">
      <c r="B344" s="4">
        <v>42491</v>
      </c>
      <c r="C344" s="1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35">
      <c r="B345" s="4">
        <v>42491</v>
      </c>
      <c r="C345" s="1">
        <f t="shared" si="5"/>
        <v>2016</v>
      </c>
      <c r="D345" s="1" t="s">
        <v>10</v>
      </c>
      <c r="E345" s="5">
        <v>13</v>
      </c>
      <c r="F345" t="s">
        <v>54</v>
      </c>
    </row>
    <row r="346" spans="2:6" x14ac:dyDescent="0.35">
      <c r="B346" s="4">
        <v>42491</v>
      </c>
      <c r="C346" s="1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35">
      <c r="B347" s="4">
        <v>42491</v>
      </c>
      <c r="C347" s="1">
        <f t="shared" si="5"/>
        <v>2016</v>
      </c>
      <c r="D347" s="1" t="s">
        <v>11</v>
      </c>
      <c r="E347" s="5">
        <v>35</v>
      </c>
      <c r="F347" t="s">
        <v>54</v>
      </c>
    </row>
    <row r="348" spans="2:6" x14ac:dyDescent="0.35">
      <c r="B348" s="4">
        <v>42491</v>
      </c>
      <c r="C348" s="1">
        <f t="shared" si="5"/>
        <v>2016</v>
      </c>
      <c r="D348" s="1" t="s">
        <v>8</v>
      </c>
      <c r="E348" s="5">
        <v>88.449999999999989</v>
      </c>
      <c r="F348" t="s">
        <v>56</v>
      </c>
    </row>
    <row r="349" spans="2:6" x14ac:dyDescent="0.35">
      <c r="B349" s="4">
        <v>42491</v>
      </c>
      <c r="C349" s="1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35">
      <c r="B350" s="4">
        <v>42491</v>
      </c>
      <c r="C350" s="1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35">
      <c r="B351" s="4">
        <v>42491</v>
      </c>
      <c r="C351" s="1">
        <f t="shared" si="5"/>
        <v>2016</v>
      </c>
      <c r="D351" s="1" t="s">
        <v>51</v>
      </c>
      <c r="E351" s="6">
        <v>16.05</v>
      </c>
      <c r="F351" t="s">
        <v>51</v>
      </c>
    </row>
    <row r="352" spans="2:6" x14ac:dyDescent="0.35">
      <c r="B352" s="4">
        <v>42522</v>
      </c>
      <c r="C352" s="1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35">
      <c r="B353" s="4">
        <v>42522</v>
      </c>
      <c r="C353" s="1">
        <f t="shared" si="5"/>
        <v>2016</v>
      </c>
      <c r="D353" s="1" t="s">
        <v>7</v>
      </c>
      <c r="E353" s="5">
        <v>56</v>
      </c>
      <c r="F353" t="s">
        <v>54</v>
      </c>
    </row>
    <row r="354" spans="2:6" x14ac:dyDescent="0.35">
      <c r="B354" s="4">
        <v>42522</v>
      </c>
      <c r="C354" s="1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35">
      <c r="B355" s="4">
        <v>42522</v>
      </c>
      <c r="C355" s="1">
        <f t="shared" si="5"/>
        <v>2016</v>
      </c>
      <c r="D355" s="1" t="s">
        <v>9</v>
      </c>
      <c r="E355" s="5">
        <v>18</v>
      </c>
      <c r="F355" t="s">
        <v>54</v>
      </c>
    </row>
    <row r="356" spans="2:6" x14ac:dyDescent="0.35">
      <c r="B356" s="4">
        <v>42522</v>
      </c>
      <c r="C356" s="1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35">
      <c r="B357" s="4">
        <v>42522</v>
      </c>
      <c r="C357" s="1">
        <f t="shared" si="5"/>
        <v>2016</v>
      </c>
      <c r="D357" s="1" t="s">
        <v>10</v>
      </c>
      <c r="E357" s="5">
        <v>17</v>
      </c>
      <c r="F357" t="s">
        <v>54</v>
      </c>
    </row>
    <row r="358" spans="2:6" x14ac:dyDescent="0.35">
      <c r="B358" s="4">
        <v>42522</v>
      </c>
      <c r="C358" s="1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35">
      <c r="B359" s="4">
        <v>42522</v>
      </c>
      <c r="C359" s="1">
        <f t="shared" si="5"/>
        <v>2016</v>
      </c>
      <c r="D359" s="1" t="s">
        <v>11</v>
      </c>
      <c r="E359" s="5">
        <v>30</v>
      </c>
      <c r="F359" t="s">
        <v>54</v>
      </c>
    </row>
    <row r="360" spans="2:6" x14ac:dyDescent="0.35">
      <c r="B360" s="4">
        <v>42522</v>
      </c>
      <c r="C360" s="1">
        <f t="shared" si="5"/>
        <v>2016</v>
      </c>
      <c r="D360" s="1" t="s">
        <v>8</v>
      </c>
      <c r="E360" s="5">
        <v>102.92</v>
      </c>
      <c r="F360" t="s">
        <v>56</v>
      </c>
    </row>
    <row r="361" spans="2:6" x14ac:dyDescent="0.35">
      <c r="B361" s="4">
        <v>42522</v>
      </c>
      <c r="C361" s="1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35">
      <c r="B362" s="4">
        <v>42522</v>
      </c>
      <c r="C362" s="1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35">
      <c r="B363" s="4">
        <v>42522</v>
      </c>
      <c r="C363" s="1">
        <f t="shared" si="5"/>
        <v>2016</v>
      </c>
      <c r="D363" s="1" t="s">
        <v>51</v>
      </c>
      <c r="E363" s="6">
        <v>18.360000000000003</v>
      </c>
      <c r="F363" t="s">
        <v>51</v>
      </c>
    </row>
    <row r="364" spans="2:6" x14ac:dyDescent="0.35">
      <c r="B364" s="4">
        <v>42552</v>
      </c>
      <c r="C364" s="1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35">
      <c r="B365" s="4">
        <v>42552</v>
      </c>
      <c r="C365" s="1">
        <f t="shared" si="5"/>
        <v>2016</v>
      </c>
      <c r="D365" s="1" t="s">
        <v>7</v>
      </c>
      <c r="E365" s="5">
        <v>52</v>
      </c>
      <c r="F365" t="s">
        <v>54</v>
      </c>
    </row>
    <row r="366" spans="2:6" x14ac:dyDescent="0.35">
      <c r="B366" s="4">
        <v>42552</v>
      </c>
      <c r="C366" s="1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35">
      <c r="B367" s="4">
        <v>42552</v>
      </c>
      <c r="C367" s="1">
        <f t="shared" si="5"/>
        <v>2016</v>
      </c>
      <c r="D367" s="1" t="s">
        <v>9</v>
      </c>
      <c r="E367" s="5">
        <v>10</v>
      </c>
      <c r="F367" t="s">
        <v>54</v>
      </c>
    </row>
    <row r="368" spans="2:6" x14ac:dyDescent="0.35">
      <c r="B368" s="4">
        <v>42552</v>
      </c>
      <c r="C368" s="1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35">
      <c r="B369" s="4">
        <v>42552</v>
      </c>
      <c r="C369" s="1">
        <f t="shared" si="5"/>
        <v>2016</v>
      </c>
      <c r="D369" s="1" t="s">
        <v>10</v>
      </c>
      <c r="E369" s="5">
        <v>18</v>
      </c>
      <c r="F369" t="s">
        <v>54</v>
      </c>
    </row>
    <row r="370" spans="2:6" x14ac:dyDescent="0.35">
      <c r="B370" s="4">
        <v>42552</v>
      </c>
      <c r="C370" s="1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35">
      <c r="B371" s="4">
        <v>42552</v>
      </c>
      <c r="C371" s="1">
        <f t="shared" si="5"/>
        <v>2016</v>
      </c>
      <c r="D371" s="1" t="s">
        <v>11</v>
      </c>
      <c r="E371" s="5">
        <v>35</v>
      </c>
      <c r="F371" t="s">
        <v>54</v>
      </c>
    </row>
    <row r="372" spans="2:6" x14ac:dyDescent="0.35">
      <c r="B372" s="4">
        <v>42552</v>
      </c>
      <c r="C372" s="1">
        <f t="shared" si="5"/>
        <v>2016</v>
      </c>
      <c r="D372" s="1" t="s">
        <v>8</v>
      </c>
      <c r="E372" s="5">
        <v>104.28</v>
      </c>
      <c r="F372" t="s">
        <v>56</v>
      </c>
    </row>
    <row r="373" spans="2:6" x14ac:dyDescent="0.35">
      <c r="B373" s="4">
        <v>42552</v>
      </c>
      <c r="C373" s="1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35">
      <c r="B374" s="4">
        <v>42552</v>
      </c>
      <c r="C374" s="1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35">
      <c r="B375" s="4">
        <v>42552</v>
      </c>
      <c r="C375" s="1">
        <f t="shared" si="5"/>
        <v>2016</v>
      </c>
      <c r="D375" s="1" t="s">
        <v>51</v>
      </c>
      <c r="E375" s="6">
        <v>17.240000000000002</v>
      </c>
      <c r="F375" t="s">
        <v>51</v>
      </c>
    </row>
    <row r="376" spans="2:6" x14ac:dyDescent="0.35">
      <c r="B376" s="4">
        <v>42583</v>
      </c>
      <c r="C376" s="1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35">
      <c r="B377" s="4">
        <v>42583</v>
      </c>
      <c r="C377" s="1">
        <f t="shared" si="5"/>
        <v>2016</v>
      </c>
      <c r="D377" s="1" t="s">
        <v>7</v>
      </c>
      <c r="E377" s="5">
        <v>47</v>
      </c>
      <c r="F377" t="s">
        <v>54</v>
      </c>
    </row>
    <row r="378" spans="2:6" x14ac:dyDescent="0.35">
      <c r="B378" s="4">
        <v>42583</v>
      </c>
      <c r="C378" s="1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35">
      <c r="B379" s="4">
        <v>42583</v>
      </c>
      <c r="C379" s="1">
        <f t="shared" si="5"/>
        <v>2016</v>
      </c>
      <c r="D379" s="1" t="s">
        <v>9</v>
      </c>
      <c r="E379" s="5">
        <v>19</v>
      </c>
      <c r="F379" t="s">
        <v>54</v>
      </c>
    </row>
    <row r="380" spans="2:6" x14ac:dyDescent="0.35">
      <c r="B380" s="4">
        <v>42583</v>
      </c>
      <c r="C380" s="1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35">
      <c r="B381" s="4">
        <v>42583</v>
      </c>
      <c r="C381" s="1">
        <f t="shared" si="5"/>
        <v>2016</v>
      </c>
      <c r="D381" s="1" t="s">
        <v>10</v>
      </c>
      <c r="E381" s="5">
        <v>11</v>
      </c>
      <c r="F381" t="s">
        <v>54</v>
      </c>
    </row>
    <row r="382" spans="2:6" x14ac:dyDescent="0.35">
      <c r="B382" s="4">
        <v>42583</v>
      </c>
      <c r="C382" s="1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35">
      <c r="B383" s="4">
        <v>42583</v>
      </c>
      <c r="C383" s="1">
        <f t="shared" si="5"/>
        <v>2016</v>
      </c>
      <c r="D383" s="1" t="s">
        <v>11</v>
      </c>
      <c r="E383" s="5">
        <v>30</v>
      </c>
      <c r="F383" t="s">
        <v>54</v>
      </c>
    </row>
    <row r="384" spans="2:6" x14ac:dyDescent="0.35">
      <c r="B384" s="4">
        <v>42583</v>
      </c>
      <c r="C384" s="1">
        <f t="shared" si="5"/>
        <v>2016</v>
      </c>
      <c r="D384" s="1" t="s">
        <v>8</v>
      </c>
      <c r="E384" s="5">
        <v>78.25</v>
      </c>
      <c r="F384" t="s">
        <v>56</v>
      </c>
    </row>
    <row r="385" spans="2:6" x14ac:dyDescent="0.35">
      <c r="B385" s="4">
        <v>42583</v>
      </c>
      <c r="C385" s="1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35">
      <c r="B386" s="4">
        <v>42583</v>
      </c>
      <c r="C386" s="1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35">
      <c r="B387" s="4">
        <v>42583</v>
      </c>
      <c r="C387" s="1">
        <f t="shared" si="5"/>
        <v>2016</v>
      </c>
      <c r="D387" s="1" t="s">
        <v>51</v>
      </c>
      <c r="E387" s="6">
        <v>17.840000000000003</v>
      </c>
      <c r="F387" t="s">
        <v>51</v>
      </c>
    </row>
    <row r="388" spans="2:6" x14ac:dyDescent="0.35">
      <c r="B388" s="4">
        <v>42614</v>
      </c>
      <c r="C388" s="1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35">
      <c r="B389" s="4">
        <v>42614</v>
      </c>
      <c r="C389" s="1">
        <f t="shared" ref="C389:C438" si="6">YEAR(B389)</f>
        <v>2016</v>
      </c>
      <c r="D389" s="1" t="s">
        <v>7</v>
      </c>
      <c r="E389" s="5">
        <v>47</v>
      </c>
      <c r="F389" t="s">
        <v>54</v>
      </c>
    </row>
    <row r="390" spans="2:6" x14ac:dyDescent="0.35">
      <c r="B390" s="4">
        <v>42614</v>
      </c>
      <c r="C390" s="1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35">
      <c r="B391" s="4">
        <v>42614</v>
      </c>
      <c r="C391" s="1">
        <f t="shared" si="6"/>
        <v>2016</v>
      </c>
      <c r="D391" s="1" t="s">
        <v>9</v>
      </c>
      <c r="E391" s="5">
        <v>13</v>
      </c>
      <c r="F391" t="s">
        <v>54</v>
      </c>
    </row>
    <row r="392" spans="2:6" x14ac:dyDescent="0.35">
      <c r="B392" s="4">
        <v>42614</v>
      </c>
      <c r="C392" s="1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35">
      <c r="B393" s="4">
        <v>42614</v>
      </c>
      <c r="C393" s="1">
        <f t="shared" si="6"/>
        <v>2016</v>
      </c>
      <c r="D393" s="1" t="s">
        <v>10</v>
      </c>
      <c r="E393" s="5">
        <v>11</v>
      </c>
      <c r="F393" t="s">
        <v>54</v>
      </c>
    </row>
    <row r="394" spans="2:6" x14ac:dyDescent="0.35">
      <c r="B394" s="4">
        <v>42614</v>
      </c>
      <c r="C394" s="1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35">
      <c r="B395" s="4">
        <v>42614</v>
      </c>
      <c r="C395" s="1">
        <f t="shared" si="6"/>
        <v>2016</v>
      </c>
      <c r="D395" s="1" t="s">
        <v>11</v>
      </c>
      <c r="E395" s="5">
        <v>32</v>
      </c>
      <c r="F395" t="s">
        <v>54</v>
      </c>
    </row>
    <row r="396" spans="2:6" x14ac:dyDescent="0.35">
      <c r="B396" s="4">
        <v>42614</v>
      </c>
      <c r="C396" s="1">
        <f t="shared" si="6"/>
        <v>2016</v>
      </c>
      <c r="D396" s="1" t="s">
        <v>8</v>
      </c>
      <c r="E396" s="5">
        <v>78.78</v>
      </c>
      <c r="F396" t="s">
        <v>56</v>
      </c>
    </row>
    <row r="397" spans="2:6" x14ac:dyDescent="0.35">
      <c r="B397" s="4">
        <v>42614</v>
      </c>
      <c r="C397" s="1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35">
      <c r="B398" s="4">
        <v>42614</v>
      </c>
      <c r="C398" s="1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35">
      <c r="B399" s="4">
        <v>42614</v>
      </c>
      <c r="C399" s="1">
        <f t="shared" si="6"/>
        <v>2016</v>
      </c>
      <c r="D399" s="1" t="s">
        <v>51</v>
      </c>
      <c r="E399" s="6">
        <v>17.170000000000002</v>
      </c>
      <c r="F399" t="s">
        <v>51</v>
      </c>
    </row>
    <row r="400" spans="2:6" x14ac:dyDescent="0.35">
      <c r="B400" s="4">
        <v>42644</v>
      </c>
      <c r="C400" s="1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35">
      <c r="B401" s="4">
        <v>42644</v>
      </c>
      <c r="C401" s="1">
        <f t="shared" si="6"/>
        <v>2016</v>
      </c>
      <c r="D401" s="1" t="s">
        <v>7</v>
      </c>
      <c r="E401" s="5">
        <v>51</v>
      </c>
      <c r="F401" t="s">
        <v>54</v>
      </c>
    </row>
    <row r="402" spans="2:6" x14ac:dyDescent="0.35">
      <c r="B402" s="4">
        <v>42644</v>
      </c>
      <c r="C402" s="1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35">
      <c r="B403" s="4">
        <v>42644</v>
      </c>
      <c r="C403" s="1">
        <f t="shared" si="6"/>
        <v>2016</v>
      </c>
      <c r="D403" s="1" t="s">
        <v>9</v>
      </c>
      <c r="E403" s="5">
        <v>16</v>
      </c>
      <c r="F403" t="s">
        <v>54</v>
      </c>
    </row>
    <row r="404" spans="2:6" x14ac:dyDescent="0.35">
      <c r="B404" s="4">
        <v>42644</v>
      </c>
      <c r="C404" s="1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35">
      <c r="B405" s="4">
        <v>42644</v>
      </c>
      <c r="C405" s="1">
        <f t="shared" si="6"/>
        <v>2016</v>
      </c>
      <c r="D405" s="1" t="s">
        <v>10</v>
      </c>
      <c r="E405" s="5">
        <v>10</v>
      </c>
      <c r="F405" t="s">
        <v>54</v>
      </c>
    </row>
    <row r="406" spans="2:6" x14ac:dyDescent="0.35">
      <c r="B406" s="4">
        <v>42644</v>
      </c>
      <c r="C406" s="1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35">
      <c r="B407" s="4">
        <v>42644</v>
      </c>
      <c r="C407" s="1">
        <f t="shared" si="6"/>
        <v>2016</v>
      </c>
      <c r="D407" s="1" t="s">
        <v>11</v>
      </c>
      <c r="E407" s="5">
        <v>35</v>
      </c>
      <c r="F407" t="s">
        <v>54</v>
      </c>
    </row>
    <row r="408" spans="2:6" x14ac:dyDescent="0.35">
      <c r="B408" s="4">
        <v>42644</v>
      </c>
      <c r="C408" s="1">
        <f t="shared" si="6"/>
        <v>2016</v>
      </c>
      <c r="D408" s="1" t="s">
        <v>8</v>
      </c>
      <c r="E408" s="5">
        <v>83.460000000000008</v>
      </c>
      <c r="F408" t="s">
        <v>56</v>
      </c>
    </row>
    <row r="409" spans="2:6" x14ac:dyDescent="0.35">
      <c r="B409" s="4">
        <v>42644</v>
      </c>
      <c r="C409" s="1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35">
      <c r="B410" s="4">
        <v>42644</v>
      </c>
      <c r="C410" s="1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35">
      <c r="B411" s="4">
        <v>42644</v>
      </c>
      <c r="C411" s="1">
        <f t="shared" si="6"/>
        <v>2016</v>
      </c>
      <c r="D411" s="1" t="s">
        <v>51</v>
      </c>
      <c r="E411" s="6">
        <v>18.05</v>
      </c>
      <c r="F411" t="s">
        <v>51</v>
      </c>
    </row>
    <row r="412" spans="2:6" x14ac:dyDescent="0.35">
      <c r="B412" s="4">
        <v>42675</v>
      </c>
      <c r="C412" s="1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35">
      <c r="B413" s="4">
        <v>42675</v>
      </c>
      <c r="C413" s="1">
        <f t="shared" si="6"/>
        <v>2016</v>
      </c>
      <c r="D413" s="1" t="s">
        <v>7</v>
      </c>
      <c r="E413" s="5">
        <v>52</v>
      </c>
      <c r="F413" t="s">
        <v>54</v>
      </c>
    </row>
    <row r="414" spans="2:6" x14ac:dyDescent="0.35">
      <c r="B414" s="4">
        <v>42675</v>
      </c>
      <c r="C414" s="1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35">
      <c r="B415" s="4">
        <v>42675</v>
      </c>
      <c r="C415" s="1">
        <f t="shared" si="6"/>
        <v>2016</v>
      </c>
      <c r="D415" s="1" t="s">
        <v>9</v>
      </c>
      <c r="E415" s="5">
        <v>15</v>
      </c>
      <c r="F415" t="s">
        <v>54</v>
      </c>
    </row>
    <row r="416" spans="2:6" x14ac:dyDescent="0.35">
      <c r="B416" s="4">
        <v>42675</v>
      </c>
      <c r="C416" s="1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35">
      <c r="B417" s="4">
        <v>42675</v>
      </c>
      <c r="C417" s="1">
        <f t="shared" si="6"/>
        <v>2016</v>
      </c>
      <c r="D417" s="1" t="s">
        <v>10</v>
      </c>
      <c r="E417" s="5">
        <v>14</v>
      </c>
      <c r="F417" t="s">
        <v>54</v>
      </c>
    </row>
    <row r="418" spans="2:6" x14ac:dyDescent="0.35">
      <c r="B418" s="4">
        <v>42675</v>
      </c>
      <c r="C418" s="1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35">
      <c r="B419" s="4">
        <v>42675</v>
      </c>
      <c r="C419" s="1">
        <f t="shared" si="6"/>
        <v>2016</v>
      </c>
      <c r="D419" s="1" t="s">
        <v>11</v>
      </c>
      <c r="E419" s="5">
        <v>33</v>
      </c>
      <c r="F419" t="s">
        <v>54</v>
      </c>
    </row>
    <row r="420" spans="2:6" x14ac:dyDescent="0.35">
      <c r="B420" s="4">
        <v>42675</v>
      </c>
      <c r="C420" s="1">
        <f t="shared" si="6"/>
        <v>2016</v>
      </c>
      <c r="D420" s="1" t="s">
        <v>8</v>
      </c>
      <c r="E420" s="5">
        <v>87.210000000000008</v>
      </c>
      <c r="F420" t="s">
        <v>56</v>
      </c>
    </row>
    <row r="421" spans="2:6" x14ac:dyDescent="0.35">
      <c r="B421" s="4">
        <v>42675</v>
      </c>
      <c r="C421" s="1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35">
      <c r="B422" s="4">
        <v>42675</v>
      </c>
      <c r="C422" s="1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35">
      <c r="B423" s="4">
        <v>42675</v>
      </c>
      <c r="C423" s="1">
        <f t="shared" si="6"/>
        <v>2016</v>
      </c>
      <c r="D423" s="1" t="s">
        <v>51</v>
      </c>
      <c r="E423" s="6">
        <v>18.010000000000002</v>
      </c>
      <c r="F423" t="s">
        <v>51</v>
      </c>
    </row>
    <row r="424" spans="2:6" x14ac:dyDescent="0.35">
      <c r="B424" s="4">
        <v>42705</v>
      </c>
      <c r="C424" s="1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35">
      <c r="B425" s="4">
        <v>42705</v>
      </c>
      <c r="C425" s="1">
        <f t="shared" si="6"/>
        <v>2016</v>
      </c>
      <c r="D425" s="1" t="s">
        <v>7</v>
      </c>
      <c r="E425" s="5">
        <v>56</v>
      </c>
      <c r="F425" t="s">
        <v>54</v>
      </c>
    </row>
    <row r="426" spans="2:6" x14ac:dyDescent="0.35">
      <c r="B426" s="4">
        <v>42705</v>
      </c>
      <c r="C426" s="1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35">
      <c r="B427" s="4">
        <v>42705</v>
      </c>
      <c r="C427" s="1">
        <f t="shared" si="6"/>
        <v>2016</v>
      </c>
      <c r="D427" s="1" t="s">
        <v>9</v>
      </c>
      <c r="E427" s="5">
        <v>13</v>
      </c>
      <c r="F427" t="s">
        <v>54</v>
      </c>
    </row>
    <row r="428" spans="2:6" x14ac:dyDescent="0.35">
      <c r="B428" s="4">
        <v>42705</v>
      </c>
      <c r="C428" s="1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35">
      <c r="B429" s="4">
        <v>42705</v>
      </c>
      <c r="C429" s="1">
        <f t="shared" si="6"/>
        <v>2016</v>
      </c>
      <c r="D429" s="1" t="s">
        <v>10</v>
      </c>
      <c r="E429" s="5">
        <v>18</v>
      </c>
      <c r="F429" t="s">
        <v>54</v>
      </c>
    </row>
    <row r="430" spans="2:6" x14ac:dyDescent="0.35">
      <c r="B430" s="4">
        <v>42705</v>
      </c>
      <c r="C430" s="1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35">
      <c r="B431" s="4">
        <v>42705</v>
      </c>
      <c r="C431" s="1">
        <f t="shared" si="6"/>
        <v>2016</v>
      </c>
      <c r="D431" s="1" t="s">
        <v>11</v>
      </c>
      <c r="E431" s="5">
        <v>30</v>
      </c>
      <c r="F431" t="s">
        <v>54</v>
      </c>
    </row>
    <row r="432" spans="2:6" x14ac:dyDescent="0.35">
      <c r="B432" s="4">
        <v>42705</v>
      </c>
      <c r="C432" s="1">
        <f t="shared" si="6"/>
        <v>2016</v>
      </c>
      <c r="D432" s="1" t="s">
        <v>8</v>
      </c>
      <c r="E432" s="5">
        <v>91.56</v>
      </c>
      <c r="F432" t="s">
        <v>56</v>
      </c>
    </row>
    <row r="433" spans="2:6" x14ac:dyDescent="0.35">
      <c r="B433" s="4">
        <v>42705</v>
      </c>
      <c r="C433" s="1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35">
      <c r="B434" s="4">
        <v>42705</v>
      </c>
      <c r="C434" s="1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35">
      <c r="B435" s="4">
        <v>42705</v>
      </c>
      <c r="C435" s="1">
        <f t="shared" si="6"/>
        <v>2016</v>
      </c>
      <c r="D435" s="1" t="s">
        <v>51</v>
      </c>
      <c r="E435" s="6">
        <v>18.130000000000003</v>
      </c>
      <c r="F435" t="s">
        <v>51</v>
      </c>
    </row>
    <row r="436" spans="2:6" x14ac:dyDescent="0.35">
      <c r="B436" s="7">
        <v>41974</v>
      </c>
      <c r="C436" s="1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35">
      <c r="B437" s="7">
        <v>42339</v>
      </c>
      <c r="C437" s="1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35">
      <c r="B438" s="7">
        <v>42705</v>
      </c>
      <c r="C438" s="1">
        <f t="shared" si="6"/>
        <v>2016</v>
      </c>
      <c r="D438" t="s">
        <v>52</v>
      </c>
      <c r="E438">
        <v>628</v>
      </c>
      <c r="F438" t="s">
        <v>55</v>
      </c>
    </row>
  </sheetData>
  <autoFilter ref="B3:F43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A3F0-37A8-4807-A051-362978A338D7}">
  <dimension ref="B1:H442"/>
  <sheetViews>
    <sheetView tabSelected="1" workbookViewId="0">
      <selection activeCell="J11" sqref="J11"/>
    </sheetView>
  </sheetViews>
  <sheetFormatPr defaultRowHeight="11.5" x14ac:dyDescent="0.25"/>
  <cols>
    <col min="1" max="1" width="2.6328125" style="10" customWidth="1"/>
    <col min="2" max="2" width="18.90625" style="10" bestFit="1" customWidth="1"/>
    <col min="3" max="5" width="8.7265625" style="10"/>
    <col min="6" max="6" width="3.1796875" style="10" customWidth="1"/>
    <col min="7" max="16384" width="8.7265625" style="10"/>
  </cols>
  <sheetData>
    <row r="1" spans="2:8" ht="14" x14ac:dyDescent="0.3">
      <c r="B1" s="11" t="s">
        <v>63</v>
      </c>
    </row>
    <row r="2" spans="2:8" ht="14" x14ac:dyDescent="0.3">
      <c r="B2" s="11"/>
    </row>
    <row r="3" spans="2:8" ht="28.5" thickBot="1" x14ac:dyDescent="0.35">
      <c r="B3" s="12" t="s">
        <v>61</v>
      </c>
      <c r="C3" s="17">
        <v>2014</v>
      </c>
      <c r="D3" s="17">
        <v>2015</v>
      </c>
      <c r="E3" s="17">
        <v>2016</v>
      </c>
      <c r="F3" s="9"/>
      <c r="G3" s="18" t="s">
        <v>64</v>
      </c>
      <c r="H3" s="18" t="s">
        <v>65</v>
      </c>
    </row>
    <row r="4" spans="2:8" ht="14" x14ac:dyDescent="0.3">
      <c r="B4" s="9" t="s">
        <v>55</v>
      </c>
      <c r="C4" s="19">
        <f>SUMIFS('1.1'!$E:$E,'1.1'!$F:$F,Sheet1!$B4,'1.1'!$C:$C,Sheet1!C$3)</f>
        <v>2922</v>
      </c>
      <c r="D4" s="19">
        <f>SUMIFS('1.1'!$E:$E,'1.1'!$F:$F,Sheet1!$B4,'1.1'!$C:$C,Sheet1!D$3)</f>
        <v>2984</v>
      </c>
      <c r="E4" s="19">
        <f>SUMIFS('1.1'!$E:$E,'1.1'!$F:$F,Sheet1!$B4,'1.1'!$C:$C,Sheet1!E$3)</f>
        <v>3040</v>
      </c>
      <c r="F4" s="9"/>
      <c r="G4" s="20">
        <f>D4/C4-1</f>
        <v>2.1218343600273748E-2</v>
      </c>
      <c r="H4" s="20">
        <f t="shared" ref="H4:H14" si="0">E4/D4-1</f>
        <v>1.8766756032171594E-2</v>
      </c>
    </row>
    <row r="5" spans="2:8" ht="14.5" thickBot="1" x14ac:dyDescent="0.35">
      <c r="B5" s="9" t="s">
        <v>54</v>
      </c>
      <c r="C5" s="19">
        <f>-1*SUMIFS('1.1'!$E:$E,'1.1'!$F:$F,Sheet1!$B5,'1.1'!$C:$C,Sheet1!C$3)</f>
        <v>-1401</v>
      </c>
      <c r="D5" s="19">
        <f>-1*SUMIFS('1.1'!$E:$E,'1.1'!$F:$F,Sheet1!$B5,'1.1'!$C:$C,Sheet1!D$3)</f>
        <v>-1383</v>
      </c>
      <c r="E5" s="19">
        <f>-1*SUMIFS('1.1'!$E:$E,'1.1'!$F:$F,Sheet1!$B5,'1.1'!$C:$C,Sheet1!E$3)</f>
        <v>-1367</v>
      </c>
      <c r="F5" s="9"/>
      <c r="G5" s="20">
        <f t="shared" ref="G5:G14" si="1">D5/C5-1</f>
        <v>-1.2847965738758016E-2</v>
      </c>
      <c r="H5" s="20">
        <f t="shared" si="0"/>
        <v>-1.156905278380338E-2</v>
      </c>
    </row>
    <row r="6" spans="2:8" ht="14" x14ac:dyDescent="0.3">
      <c r="B6" s="13" t="s">
        <v>57</v>
      </c>
      <c r="C6" s="21">
        <f>SUM(C4:C5)</f>
        <v>1521</v>
      </c>
      <c r="D6" s="21">
        <f t="shared" ref="D6:E6" si="2">SUM(D4:D5)</f>
        <v>1601</v>
      </c>
      <c r="E6" s="21">
        <f t="shared" si="2"/>
        <v>1673</v>
      </c>
      <c r="F6" s="9"/>
      <c r="G6" s="15">
        <f t="shared" si="1"/>
        <v>5.2596975673898649E-2</v>
      </c>
      <c r="H6" s="15">
        <f t="shared" si="0"/>
        <v>4.4971892567145622E-2</v>
      </c>
    </row>
    <row r="7" spans="2:8" ht="14.5" thickBot="1" x14ac:dyDescent="0.35">
      <c r="B7" s="9" t="s">
        <v>56</v>
      </c>
      <c r="C7" s="19">
        <f>-1*SUMIFS('1.1'!$E:$E,'1.1'!$F:$F,Sheet1!$B7,'1.1'!$C:$C,Sheet1!C$3)</f>
        <v>-1212.1799999999998</v>
      </c>
      <c r="D7" s="19">
        <f>-1*SUMIFS('1.1'!$E:$E,'1.1'!$F:$F,Sheet1!$B7,'1.1'!$C:$C,Sheet1!D$3)</f>
        <v>-1245.3399999999999</v>
      </c>
      <c r="E7" s="19">
        <f>-1*SUMIFS('1.1'!$E:$E,'1.1'!$F:$F,Sheet1!$B7,'1.1'!$C:$C,Sheet1!E$3)</f>
        <v>-1068.24</v>
      </c>
      <c r="F7" s="9"/>
      <c r="G7" s="20">
        <f t="shared" si="1"/>
        <v>2.7355673249847445E-2</v>
      </c>
      <c r="H7" s="20">
        <f t="shared" si="0"/>
        <v>-0.14221015947452098</v>
      </c>
    </row>
    <row r="8" spans="2:8" ht="14" x14ac:dyDescent="0.3">
      <c r="B8" s="13" t="s">
        <v>58</v>
      </c>
      <c r="C8" s="21">
        <f>SUM(C6:C7)</f>
        <v>308.82000000000016</v>
      </c>
      <c r="D8" s="21">
        <f t="shared" ref="D8" si="3">SUM(D6:D7)</f>
        <v>355.66000000000008</v>
      </c>
      <c r="E8" s="21">
        <f t="shared" ref="E8" si="4">SUM(E6:E7)</f>
        <v>604.76</v>
      </c>
      <c r="F8" s="9"/>
      <c r="G8" s="15">
        <f t="shared" si="1"/>
        <v>0.15167411437083045</v>
      </c>
      <c r="H8" s="15">
        <f t="shared" si="0"/>
        <v>0.70038801102176196</v>
      </c>
    </row>
    <row r="9" spans="2:8" ht="14.5" thickBot="1" x14ac:dyDescent="0.35">
      <c r="B9" s="9" t="s">
        <v>12</v>
      </c>
      <c r="C9" s="19">
        <f>-1*SUMIFS('1.1'!$E:$E,'1.1'!$F:$F,Sheet1!$B9,'1.1'!$C:$C,Sheet1!C$3)</f>
        <v>-31</v>
      </c>
      <c r="D9" s="19">
        <f>-1*SUMIFS('1.1'!$E:$E,'1.1'!$F:$F,Sheet1!$B9,'1.1'!$C:$C,Sheet1!D$3)</f>
        <v>-44</v>
      </c>
      <c r="E9" s="19">
        <f>-1*SUMIFS('1.1'!$E:$E,'1.1'!$F:$F,Sheet1!$B9,'1.1'!$C:$C,Sheet1!E$3)</f>
        <v>-41</v>
      </c>
      <c r="F9" s="9"/>
      <c r="G9" s="20">
        <f t="shared" si="1"/>
        <v>0.41935483870967749</v>
      </c>
      <c r="H9" s="20">
        <f t="shared" si="0"/>
        <v>-6.8181818181818232E-2</v>
      </c>
    </row>
    <row r="10" spans="2:8" ht="14" x14ac:dyDescent="0.3">
      <c r="B10" s="13" t="s">
        <v>62</v>
      </c>
      <c r="C10" s="21">
        <f>SUM(C8:C9)</f>
        <v>277.82000000000016</v>
      </c>
      <c r="D10" s="21">
        <f t="shared" ref="D10" si="5">SUM(D8:D9)</f>
        <v>311.66000000000008</v>
      </c>
      <c r="E10" s="21">
        <f t="shared" ref="E10" si="6">SUM(E8:E9)</f>
        <v>563.76</v>
      </c>
      <c r="F10" s="9"/>
      <c r="G10" s="15">
        <f t="shared" si="1"/>
        <v>0.12180548556619364</v>
      </c>
      <c r="H10" s="15">
        <f t="shared" si="0"/>
        <v>0.80889430789963379</v>
      </c>
    </row>
    <row r="11" spans="2:8" ht="14.5" thickBot="1" x14ac:dyDescent="0.35">
      <c r="B11" s="9" t="s">
        <v>50</v>
      </c>
      <c r="C11" s="19">
        <f>-1*SUMIFS('1.1'!$E:$E,'1.1'!$F:$F,Sheet1!$B11,'1.1'!$C:$C,Sheet1!C$3)</f>
        <v>-56</v>
      </c>
      <c r="D11" s="19">
        <f>-1*SUMIFS('1.1'!$E:$E,'1.1'!$F:$F,Sheet1!$B11,'1.1'!$C:$C,Sheet1!D$3)</f>
        <v>-65</v>
      </c>
      <c r="E11" s="19">
        <f>-1*SUMIFS('1.1'!$E:$E,'1.1'!$F:$F,Sheet1!$B11,'1.1'!$C:$C,Sheet1!E$3)</f>
        <v>-52</v>
      </c>
      <c r="F11" s="9"/>
      <c r="G11" s="20">
        <f t="shared" si="1"/>
        <v>0.16071428571428581</v>
      </c>
      <c r="H11" s="20">
        <f t="shared" si="0"/>
        <v>-0.19999999999999996</v>
      </c>
    </row>
    <row r="12" spans="2:8" ht="14" x14ac:dyDescent="0.3">
      <c r="B12" s="13" t="s">
        <v>59</v>
      </c>
      <c r="C12" s="21">
        <f>SUM(C10:C11)</f>
        <v>221.82000000000016</v>
      </c>
      <c r="D12" s="21">
        <f t="shared" ref="D12" si="7">SUM(D10:D11)</f>
        <v>246.66000000000008</v>
      </c>
      <c r="E12" s="21">
        <f t="shared" ref="E12" si="8">SUM(E10:E11)</f>
        <v>511.76</v>
      </c>
      <c r="F12" s="9"/>
      <c r="G12" s="15">
        <f t="shared" si="1"/>
        <v>0.11198268866648586</v>
      </c>
      <c r="H12" s="15">
        <f t="shared" si="0"/>
        <v>1.0747587772642495</v>
      </c>
    </row>
    <row r="13" spans="2:8" ht="14.5" thickBot="1" x14ac:dyDescent="0.35">
      <c r="B13" s="9" t="s">
        <v>51</v>
      </c>
      <c r="C13" s="19">
        <f>-1*SUMIFS('1.1'!$E:$E,'1.1'!$F:$F,Sheet1!$B13,'1.1'!$C:$C,Sheet1!C$3)</f>
        <v>-207.52</v>
      </c>
      <c r="D13" s="19">
        <f>-1*SUMIFS('1.1'!$E:$E,'1.1'!$F:$F,Sheet1!$B13,'1.1'!$C:$C,Sheet1!D$3)</f>
        <v>-209.98</v>
      </c>
      <c r="E13" s="19">
        <f>-1*SUMIFS('1.1'!$E:$E,'1.1'!$F:$F,Sheet1!$B13,'1.1'!$C:$C,Sheet1!E$3)</f>
        <v>-208.57999999999998</v>
      </c>
      <c r="F13" s="9"/>
      <c r="G13" s="20">
        <f t="shared" si="1"/>
        <v>1.1854279105628196E-2</v>
      </c>
      <c r="H13" s="20">
        <f t="shared" si="0"/>
        <v>-6.6673016477759584E-3</v>
      </c>
    </row>
    <row r="14" spans="2:8" ht="14.5" thickBot="1" x14ac:dyDescent="0.35">
      <c r="B14" s="14" t="s">
        <v>60</v>
      </c>
      <c r="C14" s="22">
        <f>SUM(C12:C13)</f>
        <v>14.300000000000153</v>
      </c>
      <c r="D14" s="22">
        <f t="shared" ref="D14" si="9">SUM(D12:D13)</f>
        <v>36.680000000000092</v>
      </c>
      <c r="E14" s="22">
        <f t="shared" ref="E14" si="10">SUM(E12:E13)</f>
        <v>303.18</v>
      </c>
      <c r="F14" s="9"/>
      <c r="G14" s="16">
        <f t="shared" si="1"/>
        <v>1.5650349650349438</v>
      </c>
      <c r="H14" s="16">
        <f t="shared" si="0"/>
        <v>7.2655398037077212</v>
      </c>
    </row>
    <row r="15" spans="2:8" ht="15" thickTop="1" x14ac:dyDescent="0.35">
      <c r="B15" s="8"/>
      <c r="C15" s="8"/>
    </row>
    <row r="16" spans="2:8" ht="14.5" x14ac:dyDescent="0.35">
      <c r="B16" s="8"/>
      <c r="C16" s="8"/>
    </row>
    <row r="17" spans="2:3" ht="14.5" x14ac:dyDescent="0.35">
      <c r="B17" s="8"/>
      <c r="C17" s="8"/>
    </row>
    <row r="18" spans="2:3" ht="14.5" x14ac:dyDescent="0.35">
      <c r="B18" s="8"/>
      <c r="C18" s="8"/>
    </row>
    <row r="19" spans="2:3" ht="14.5" x14ac:dyDescent="0.35">
      <c r="B19" s="8"/>
      <c r="C19" s="8"/>
    </row>
    <row r="20" spans="2:3" ht="14.5" x14ac:dyDescent="0.35">
      <c r="B20" s="8"/>
      <c r="C20" s="8"/>
    </row>
    <row r="21" spans="2:3" ht="14.5" x14ac:dyDescent="0.35">
      <c r="B21" s="8"/>
      <c r="C21" s="8"/>
    </row>
    <row r="22" spans="2:3" ht="14.5" x14ac:dyDescent="0.35">
      <c r="B22" s="8"/>
      <c r="C22" s="8"/>
    </row>
    <row r="23" spans="2:3" ht="14.5" x14ac:dyDescent="0.35">
      <c r="B23" s="8"/>
      <c r="C23" s="8"/>
    </row>
    <row r="24" spans="2:3" ht="14.5" x14ac:dyDescent="0.35">
      <c r="B24" s="8"/>
      <c r="C24" s="8"/>
    </row>
    <row r="25" spans="2:3" ht="14.5" x14ac:dyDescent="0.35">
      <c r="B25" s="8"/>
      <c r="C25" s="8"/>
    </row>
    <row r="26" spans="2:3" ht="14.5" x14ac:dyDescent="0.35">
      <c r="B26" s="8"/>
      <c r="C26" s="8"/>
    </row>
    <row r="27" spans="2:3" ht="14.5" x14ac:dyDescent="0.35">
      <c r="B27" s="8"/>
      <c r="C27" s="8"/>
    </row>
    <row r="28" spans="2:3" ht="14.5" x14ac:dyDescent="0.35">
      <c r="B28" s="8"/>
      <c r="C28" s="8"/>
    </row>
    <row r="29" spans="2:3" ht="14.5" x14ac:dyDescent="0.35">
      <c r="B29" s="8"/>
      <c r="C29" s="8"/>
    </row>
    <row r="30" spans="2:3" ht="14.5" x14ac:dyDescent="0.35">
      <c r="B30" s="8"/>
      <c r="C30" s="8"/>
    </row>
    <row r="31" spans="2:3" ht="14.5" x14ac:dyDescent="0.35">
      <c r="B31" s="8"/>
      <c r="C31" s="8"/>
    </row>
    <row r="32" spans="2:3" ht="14.5" x14ac:dyDescent="0.35">
      <c r="B32" s="8"/>
      <c r="C32" s="8"/>
    </row>
    <row r="33" spans="2:3" ht="14.5" x14ac:dyDescent="0.35">
      <c r="B33" s="8"/>
      <c r="C33" s="8"/>
    </row>
    <row r="34" spans="2:3" ht="14.5" x14ac:dyDescent="0.35">
      <c r="B34" s="8"/>
      <c r="C34" s="8"/>
    </row>
    <row r="35" spans="2:3" ht="14.5" x14ac:dyDescent="0.35">
      <c r="B35" s="8"/>
      <c r="C35" s="8"/>
    </row>
    <row r="36" spans="2:3" ht="14.5" x14ac:dyDescent="0.35">
      <c r="B36" s="8"/>
      <c r="C36" s="8"/>
    </row>
    <row r="37" spans="2:3" ht="14.5" x14ac:dyDescent="0.35">
      <c r="B37" s="8"/>
      <c r="C37" s="8"/>
    </row>
    <row r="38" spans="2:3" ht="14.5" x14ac:dyDescent="0.35">
      <c r="B38" s="8"/>
      <c r="C38" s="8"/>
    </row>
    <row r="39" spans="2:3" ht="14.5" x14ac:dyDescent="0.35">
      <c r="B39" s="8"/>
      <c r="C39" s="8"/>
    </row>
    <row r="40" spans="2:3" ht="14.5" x14ac:dyDescent="0.35">
      <c r="B40" s="8"/>
      <c r="C40" s="8"/>
    </row>
    <row r="41" spans="2:3" ht="14.5" x14ac:dyDescent="0.35">
      <c r="B41" s="8"/>
      <c r="C41" s="8"/>
    </row>
    <row r="42" spans="2:3" ht="14.5" x14ac:dyDescent="0.35">
      <c r="B42" s="8"/>
      <c r="C42" s="8"/>
    </row>
    <row r="43" spans="2:3" ht="14.5" x14ac:dyDescent="0.35">
      <c r="B43" s="8"/>
      <c r="C43" s="8"/>
    </row>
    <row r="44" spans="2:3" ht="14.5" x14ac:dyDescent="0.35">
      <c r="B44" s="8"/>
      <c r="C44" s="8"/>
    </row>
    <row r="45" spans="2:3" ht="14.5" x14ac:dyDescent="0.35">
      <c r="B45" s="8"/>
      <c r="C45" s="8"/>
    </row>
    <row r="46" spans="2:3" ht="14.5" x14ac:dyDescent="0.35">
      <c r="B46" s="8"/>
      <c r="C46" s="8"/>
    </row>
    <row r="47" spans="2:3" ht="14.5" x14ac:dyDescent="0.35">
      <c r="B47" s="8"/>
      <c r="C47" s="8"/>
    </row>
    <row r="48" spans="2:3" ht="14.5" x14ac:dyDescent="0.35">
      <c r="B48" s="8"/>
      <c r="C48" s="8"/>
    </row>
    <row r="49" spans="2:3" ht="14.5" x14ac:dyDescent="0.35">
      <c r="B49" s="8"/>
      <c r="C49" s="8"/>
    </row>
    <row r="50" spans="2:3" ht="14.5" x14ac:dyDescent="0.35">
      <c r="B50" s="8"/>
      <c r="C50" s="8"/>
    </row>
    <row r="51" spans="2:3" ht="14.5" x14ac:dyDescent="0.35">
      <c r="B51" s="8"/>
      <c r="C51" s="8"/>
    </row>
    <row r="52" spans="2:3" ht="14.5" x14ac:dyDescent="0.35">
      <c r="B52" s="8"/>
      <c r="C52" s="8"/>
    </row>
    <row r="53" spans="2:3" ht="14.5" x14ac:dyDescent="0.35">
      <c r="B53" s="8"/>
      <c r="C53" s="8"/>
    </row>
    <row r="54" spans="2:3" ht="14.5" x14ac:dyDescent="0.35">
      <c r="B54" s="8"/>
      <c r="C54" s="8"/>
    </row>
    <row r="55" spans="2:3" ht="14.5" x14ac:dyDescent="0.35">
      <c r="B55" s="8"/>
      <c r="C55" s="8"/>
    </row>
    <row r="56" spans="2:3" ht="14.5" x14ac:dyDescent="0.35">
      <c r="B56" s="8"/>
      <c r="C56" s="8"/>
    </row>
    <row r="57" spans="2:3" ht="14.5" x14ac:dyDescent="0.35">
      <c r="B57" s="8"/>
      <c r="C57" s="8"/>
    </row>
    <row r="58" spans="2:3" ht="14.5" x14ac:dyDescent="0.35">
      <c r="B58" s="8"/>
      <c r="C58" s="8"/>
    </row>
    <row r="59" spans="2:3" ht="14.5" x14ac:dyDescent="0.35">
      <c r="B59" s="8"/>
      <c r="C59" s="8"/>
    </row>
    <row r="60" spans="2:3" ht="14.5" x14ac:dyDescent="0.35">
      <c r="B60" s="8"/>
      <c r="C60" s="8"/>
    </row>
    <row r="61" spans="2:3" ht="14.5" x14ac:dyDescent="0.35">
      <c r="B61" s="8"/>
      <c r="C61" s="8"/>
    </row>
    <row r="62" spans="2:3" ht="14.5" x14ac:dyDescent="0.35">
      <c r="B62" s="8"/>
      <c r="C62" s="8"/>
    </row>
    <row r="63" spans="2:3" ht="14.5" x14ac:dyDescent="0.35">
      <c r="B63" s="8"/>
      <c r="C63" s="8"/>
    </row>
    <row r="64" spans="2:3" ht="14.5" x14ac:dyDescent="0.35">
      <c r="B64" s="8"/>
      <c r="C64" s="8"/>
    </row>
    <row r="65" spans="2:3" ht="14.5" x14ac:dyDescent="0.35">
      <c r="B65" s="8"/>
      <c r="C65" s="8"/>
    </row>
    <row r="66" spans="2:3" ht="14.5" x14ac:dyDescent="0.35">
      <c r="B66" s="8"/>
      <c r="C66" s="8"/>
    </row>
    <row r="67" spans="2:3" ht="14.5" x14ac:dyDescent="0.35">
      <c r="B67" s="8"/>
      <c r="C67" s="8"/>
    </row>
    <row r="68" spans="2:3" ht="14.5" x14ac:dyDescent="0.35">
      <c r="B68" s="8"/>
      <c r="C68" s="8"/>
    </row>
    <row r="69" spans="2:3" ht="14.5" x14ac:dyDescent="0.35">
      <c r="B69" s="8"/>
      <c r="C69" s="8"/>
    </row>
    <row r="70" spans="2:3" ht="14.5" x14ac:dyDescent="0.35">
      <c r="B70" s="8"/>
      <c r="C70" s="8"/>
    </row>
    <row r="71" spans="2:3" ht="14.5" x14ac:dyDescent="0.35">
      <c r="B71" s="8"/>
      <c r="C71" s="8"/>
    </row>
    <row r="72" spans="2:3" ht="14.5" x14ac:dyDescent="0.35">
      <c r="B72" s="8"/>
      <c r="C72" s="8"/>
    </row>
    <row r="73" spans="2:3" ht="14.5" x14ac:dyDescent="0.35">
      <c r="B73" s="8"/>
      <c r="C73" s="8"/>
    </row>
    <row r="74" spans="2:3" ht="14.5" x14ac:dyDescent="0.35">
      <c r="B74" s="8"/>
      <c r="C74" s="8"/>
    </row>
    <row r="75" spans="2:3" ht="14.5" x14ac:dyDescent="0.35">
      <c r="B75" s="8"/>
      <c r="C75" s="8"/>
    </row>
    <row r="76" spans="2:3" ht="14.5" x14ac:dyDescent="0.35">
      <c r="B76" s="8"/>
      <c r="C76" s="8"/>
    </row>
    <row r="77" spans="2:3" ht="14.5" x14ac:dyDescent="0.35">
      <c r="B77" s="8"/>
      <c r="C77" s="8"/>
    </row>
    <row r="78" spans="2:3" ht="14.5" x14ac:dyDescent="0.35">
      <c r="B78" s="8"/>
      <c r="C78" s="8"/>
    </row>
    <row r="79" spans="2:3" ht="14.5" x14ac:dyDescent="0.35">
      <c r="B79" s="8"/>
      <c r="C79" s="8"/>
    </row>
    <row r="80" spans="2:3" ht="14.5" x14ac:dyDescent="0.35">
      <c r="B80" s="8"/>
      <c r="C80" s="8"/>
    </row>
    <row r="81" spans="2:3" ht="14.5" x14ac:dyDescent="0.35">
      <c r="B81" s="8"/>
      <c r="C81" s="8"/>
    </row>
    <row r="82" spans="2:3" ht="14.5" x14ac:dyDescent="0.35">
      <c r="B82" s="8"/>
      <c r="C82" s="8"/>
    </row>
    <row r="83" spans="2:3" ht="14.5" x14ac:dyDescent="0.35">
      <c r="B83" s="8"/>
      <c r="C83" s="8"/>
    </row>
    <row r="84" spans="2:3" ht="14.5" x14ac:dyDescent="0.35">
      <c r="B84" s="8"/>
      <c r="C84" s="8"/>
    </row>
    <row r="85" spans="2:3" ht="14.5" x14ac:dyDescent="0.35">
      <c r="B85" s="8"/>
      <c r="C85" s="8"/>
    </row>
    <row r="86" spans="2:3" ht="14.5" x14ac:dyDescent="0.35">
      <c r="B86" s="8"/>
      <c r="C86" s="8"/>
    </row>
    <row r="87" spans="2:3" ht="14.5" x14ac:dyDescent="0.35">
      <c r="B87" s="8"/>
      <c r="C87" s="8"/>
    </row>
    <row r="88" spans="2:3" ht="14.5" x14ac:dyDescent="0.35">
      <c r="B88" s="8"/>
      <c r="C88" s="8"/>
    </row>
    <row r="89" spans="2:3" ht="14.5" x14ac:dyDescent="0.35">
      <c r="B89" s="8"/>
      <c r="C89" s="8"/>
    </row>
    <row r="90" spans="2:3" ht="14.5" x14ac:dyDescent="0.35">
      <c r="B90" s="8"/>
      <c r="C90" s="8"/>
    </row>
    <row r="91" spans="2:3" ht="14.5" x14ac:dyDescent="0.35">
      <c r="B91" s="8"/>
      <c r="C91" s="8"/>
    </row>
    <row r="92" spans="2:3" ht="14.5" x14ac:dyDescent="0.35">
      <c r="B92" s="8"/>
      <c r="C92" s="8"/>
    </row>
    <row r="93" spans="2:3" ht="14.5" x14ac:dyDescent="0.35">
      <c r="B93" s="8"/>
      <c r="C93" s="8"/>
    </row>
    <row r="94" spans="2:3" ht="14.5" x14ac:dyDescent="0.35">
      <c r="B94" s="8"/>
      <c r="C94" s="8"/>
    </row>
    <row r="95" spans="2:3" ht="14.5" x14ac:dyDescent="0.35">
      <c r="B95" s="8"/>
      <c r="C95" s="8"/>
    </row>
    <row r="96" spans="2:3" ht="14.5" x14ac:dyDescent="0.35">
      <c r="B96" s="8"/>
      <c r="C96" s="8"/>
    </row>
    <row r="97" spans="2:3" ht="14.5" x14ac:dyDescent="0.35">
      <c r="B97" s="8"/>
      <c r="C97" s="8"/>
    </row>
    <row r="98" spans="2:3" ht="14.5" x14ac:dyDescent="0.35">
      <c r="B98" s="8"/>
      <c r="C98" s="8"/>
    </row>
    <row r="99" spans="2:3" ht="14.5" x14ac:dyDescent="0.35">
      <c r="B99" s="8"/>
      <c r="C99" s="8"/>
    </row>
    <row r="100" spans="2:3" ht="14.5" x14ac:dyDescent="0.35">
      <c r="B100" s="8"/>
      <c r="C100" s="8"/>
    </row>
    <row r="101" spans="2:3" ht="14.5" x14ac:dyDescent="0.35">
      <c r="B101" s="8"/>
      <c r="C101" s="8"/>
    </row>
    <row r="102" spans="2:3" ht="14.5" x14ac:dyDescent="0.35">
      <c r="B102" s="8"/>
      <c r="C102" s="8"/>
    </row>
    <row r="103" spans="2:3" ht="14.5" x14ac:dyDescent="0.35">
      <c r="B103" s="8"/>
      <c r="C103" s="8"/>
    </row>
    <row r="104" spans="2:3" ht="14.5" x14ac:dyDescent="0.35">
      <c r="B104" s="8"/>
      <c r="C104" s="8"/>
    </row>
    <row r="105" spans="2:3" ht="14.5" x14ac:dyDescent="0.35">
      <c r="B105" s="8"/>
      <c r="C105" s="8"/>
    </row>
    <row r="106" spans="2:3" ht="14.5" x14ac:dyDescent="0.35">
      <c r="B106" s="8"/>
      <c r="C106" s="8"/>
    </row>
    <row r="107" spans="2:3" ht="14.5" x14ac:dyDescent="0.35">
      <c r="B107" s="8"/>
      <c r="C107" s="8"/>
    </row>
    <row r="108" spans="2:3" ht="14.5" x14ac:dyDescent="0.35">
      <c r="B108" s="8"/>
      <c r="C108" s="8"/>
    </row>
    <row r="109" spans="2:3" ht="14.5" x14ac:dyDescent="0.35">
      <c r="B109" s="8"/>
      <c r="C109" s="8"/>
    </row>
    <row r="110" spans="2:3" ht="14.5" x14ac:dyDescent="0.35">
      <c r="B110" s="8"/>
      <c r="C110" s="8"/>
    </row>
    <row r="111" spans="2:3" ht="14.5" x14ac:dyDescent="0.35">
      <c r="B111" s="8"/>
      <c r="C111" s="8"/>
    </row>
    <row r="112" spans="2:3" ht="14.5" x14ac:dyDescent="0.35">
      <c r="B112" s="8"/>
      <c r="C112" s="8"/>
    </row>
    <row r="113" spans="2:3" ht="14.5" x14ac:dyDescent="0.35">
      <c r="B113" s="8"/>
      <c r="C113" s="8"/>
    </row>
    <row r="114" spans="2:3" ht="14.5" x14ac:dyDescent="0.35">
      <c r="B114" s="8"/>
      <c r="C114" s="8"/>
    </row>
    <row r="115" spans="2:3" ht="14.5" x14ac:dyDescent="0.35">
      <c r="B115" s="8"/>
      <c r="C115" s="8"/>
    </row>
    <row r="116" spans="2:3" ht="14.5" x14ac:dyDescent="0.35">
      <c r="B116" s="8"/>
      <c r="C116" s="8"/>
    </row>
    <row r="117" spans="2:3" ht="14.5" x14ac:dyDescent="0.35">
      <c r="B117" s="8"/>
      <c r="C117" s="8"/>
    </row>
    <row r="118" spans="2:3" ht="14.5" x14ac:dyDescent="0.35">
      <c r="B118" s="8"/>
      <c r="C118" s="8"/>
    </row>
    <row r="119" spans="2:3" ht="14.5" x14ac:dyDescent="0.35">
      <c r="B119" s="8"/>
      <c r="C119" s="8"/>
    </row>
    <row r="120" spans="2:3" ht="14.5" x14ac:dyDescent="0.35">
      <c r="B120" s="8"/>
      <c r="C120" s="8"/>
    </row>
    <row r="121" spans="2:3" ht="14.5" x14ac:dyDescent="0.35">
      <c r="B121" s="8"/>
      <c r="C121" s="8"/>
    </row>
    <row r="122" spans="2:3" ht="14.5" x14ac:dyDescent="0.35">
      <c r="B122" s="8"/>
      <c r="C122" s="8"/>
    </row>
    <row r="123" spans="2:3" ht="14.5" x14ac:dyDescent="0.35">
      <c r="B123" s="8"/>
      <c r="C123" s="8"/>
    </row>
    <row r="124" spans="2:3" ht="14.5" x14ac:dyDescent="0.35">
      <c r="B124" s="8"/>
      <c r="C124" s="8"/>
    </row>
    <row r="125" spans="2:3" ht="14.5" x14ac:dyDescent="0.35">
      <c r="B125" s="8"/>
      <c r="C125" s="8"/>
    </row>
    <row r="126" spans="2:3" ht="14.5" x14ac:dyDescent="0.35">
      <c r="B126" s="8"/>
      <c r="C126" s="8"/>
    </row>
    <row r="127" spans="2:3" ht="14.5" x14ac:dyDescent="0.35">
      <c r="B127" s="8"/>
      <c r="C127" s="8"/>
    </row>
    <row r="128" spans="2:3" ht="14.5" x14ac:dyDescent="0.35">
      <c r="B128" s="8"/>
      <c r="C128" s="8"/>
    </row>
    <row r="129" spans="2:3" ht="14.5" x14ac:dyDescent="0.35">
      <c r="B129" s="8"/>
      <c r="C129" s="8"/>
    </row>
    <row r="130" spans="2:3" ht="14.5" x14ac:dyDescent="0.35">
      <c r="B130" s="8"/>
      <c r="C130" s="8"/>
    </row>
    <row r="131" spans="2:3" ht="14.5" x14ac:dyDescent="0.35">
      <c r="B131" s="8"/>
      <c r="C131" s="8"/>
    </row>
    <row r="132" spans="2:3" ht="14.5" x14ac:dyDescent="0.35">
      <c r="B132" s="8"/>
      <c r="C132" s="8"/>
    </row>
    <row r="133" spans="2:3" ht="14.5" x14ac:dyDescent="0.35">
      <c r="B133" s="8"/>
      <c r="C133" s="8"/>
    </row>
    <row r="134" spans="2:3" ht="14.5" x14ac:dyDescent="0.35">
      <c r="B134" s="8"/>
      <c r="C134" s="8"/>
    </row>
    <row r="135" spans="2:3" ht="14.5" x14ac:dyDescent="0.35">
      <c r="B135" s="8"/>
      <c r="C135" s="8"/>
    </row>
    <row r="136" spans="2:3" ht="14.5" x14ac:dyDescent="0.35">
      <c r="B136" s="8"/>
      <c r="C136" s="8"/>
    </row>
    <row r="137" spans="2:3" ht="14.5" x14ac:dyDescent="0.35">
      <c r="B137" s="8"/>
      <c r="C137" s="8"/>
    </row>
    <row r="138" spans="2:3" ht="14.5" x14ac:dyDescent="0.35">
      <c r="B138" s="8"/>
      <c r="C138" s="8"/>
    </row>
    <row r="139" spans="2:3" ht="14.5" x14ac:dyDescent="0.35">
      <c r="B139" s="8"/>
      <c r="C139" s="8"/>
    </row>
    <row r="140" spans="2:3" ht="14.5" x14ac:dyDescent="0.35">
      <c r="B140" s="8"/>
      <c r="C140" s="8"/>
    </row>
    <row r="141" spans="2:3" ht="14.5" x14ac:dyDescent="0.35">
      <c r="B141" s="8"/>
      <c r="C141" s="8"/>
    </row>
    <row r="142" spans="2:3" ht="14.5" x14ac:dyDescent="0.35">
      <c r="B142" s="8"/>
      <c r="C142" s="8"/>
    </row>
    <row r="143" spans="2:3" ht="14.5" x14ac:dyDescent="0.35">
      <c r="B143" s="8"/>
      <c r="C143" s="8"/>
    </row>
    <row r="144" spans="2:3" ht="14.5" x14ac:dyDescent="0.35">
      <c r="B144" s="8"/>
      <c r="C144" s="8"/>
    </row>
    <row r="145" spans="2:3" ht="14.5" x14ac:dyDescent="0.35">
      <c r="B145" s="8"/>
      <c r="C145" s="8"/>
    </row>
    <row r="146" spans="2:3" ht="14.5" x14ac:dyDescent="0.35">
      <c r="B146" s="8"/>
      <c r="C146" s="8"/>
    </row>
    <row r="147" spans="2:3" ht="14.5" x14ac:dyDescent="0.35">
      <c r="B147" s="8"/>
      <c r="C147" s="8"/>
    </row>
    <row r="148" spans="2:3" ht="14.5" x14ac:dyDescent="0.35">
      <c r="B148" s="8"/>
      <c r="C148" s="8"/>
    </row>
    <row r="149" spans="2:3" ht="14.5" x14ac:dyDescent="0.35">
      <c r="B149" s="8"/>
      <c r="C149" s="8"/>
    </row>
    <row r="150" spans="2:3" ht="14.5" x14ac:dyDescent="0.35">
      <c r="B150" s="8"/>
      <c r="C150" s="8"/>
    </row>
    <row r="151" spans="2:3" ht="14.5" x14ac:dyDescent="0.35">
      <c r="B151" s="8"/>
      <c r="C151" s="8"/>
    </row>
    <row r="152" spans="2:3" ht="14.5" x14ac:dyDescent="0.35">
      <c r="B152" s="8"/>
      <c r="C152" s="8"/>
    </row>
    <row r="153" spans="2:3" ht="14.5" x14ac:dyDescent="0.35">
      <c r="B153" s="8"/>
      <c r="C153" s="8"/>
    </row>
    <row r="154" spans="2:3" ht="14.5" x14ac:dyDescent="0.35">
      <c r="B154" s="8"/>
      <c r="C154" s="8"/>
    </row>
    <row r="155" spans="2:3" ht="14.5" x14ac:dyDescent="0.35">
      <c r="B155" s="8"/>
      <c r="C155" s="8"/>
    </row>
    <row r="156" spans="2:3" ht="14.5" x14ac:dyDescent="0.35">
      <c r="B156" s="8"/>
      <c r="C156" s="8"/>
    </row>
    <row r="157" spans="2:3" ht="14.5" x14ac:dyDescent="0.35">
      <c r="B157" s="8"/>
      <c r="C157" s="8"/>
    </row>
    <row r="158" spans="2:3" ht="14.5" x14ac:dyDescent="0.35">
      <c r="B158" s="8"/>
      <c r="C158" s="8"/>
    </row>
    <row r="159" spans="2:3" ht="14.5" x14ac:dyDescent="0.35">
      <c r="B159" s="8"/>
      <c r="C159" s="8"/>
    </row>
    <row r="160" spans="2:3" ht="14.5" x14ac:dyDescent="0.35">
      <c r="B160" s="8"/>
      <c r="C160" s="8"/>
    </row>
    <row r="161" spans="2:3" ht="14.5" x14ac:dyDescent="0.35">
      <c r="B161" s="8"/>
      <c r="C161" s="8"/>
    </row>
    <row r="162" spans="2:3" ht="14.5" x14ac:dyDescent="0.35">
      <c r="B162" s="8"/>
      <c r="C162" s="8"/>
    </row>
    <row r="163" spans="2:3" ht="14.5" x14ac:dyDescent="0.35">
      <c r="B163" s="8"/>
      <c r="C163" s="8"/>
    </row>
    <row r="164" spans="2:3" ht="14.5" x14ac:dyDescent="0.35">
      <c r="B164" s="8"/>
      <c r="C164" s="8"/>
    </row>
    <row r="165" spans="2:3" ht="14.5" x14ac:dyDescent="0.35">
      <c r="B165" s="8"/>
      <c r="C165" s="8"/>
    </row>
    <row r="166" spans="2:3" ht="14.5" x14ac:dyDescent="0.35">
      <c r="B166" s="8"/>
      <c r="C166" s="8"/>
    </row>
    <row r="167" spans="2:3" ht="14.5" x14ac:dyDescent="0.35">
      <c r="B167" s="8"/>
      <c r="C167" s="8"/>
    </row>
    <row r="168" spans="2:3" ht="14.5" x14ac:dyDescent="0.35">
      <c r="B168" s="8"/>
      <c r="C168" s="8"/>
    </row>
    <row r="169" spans="2:3" ht="14.5" x14ac:dyDescent="0.35">
      <c r="B169" s="8"/>
      <c r="C169" s="8"/>
    </row>
    <row r="170" spans="2:3" ht="14.5" x14ac:dyDescent="0.35">
      <c r="B170" s="8"/>
      <c r="C170" s="8"/>
    </row>
    <row r="171" spans="2:3" ht="14.5" x14ac:dyDescent="0.35">
      <c r="B171" s="8"/>
      <c r="C171" s="8"/>
    </row>
    <row r="172" spans="2:3" ht="14.5" x14ac:dyDescent="0.35">
      <c r="B172" s="8"/>
      <c r="C172" s="8"/>
    </row>
    <row r="173" spans="2:3" ht="14.5" x14ac:dyDescent="0.35">
      <c r="B173" s="8"/>
      <c r="C173" s="8"/>
    </row>
    <row r="174" spans="2:3" ht="14.5" x14ac:dyDescent="0.35">
      <c r="B174" s="8"/>
      <c r="C174" s="8"/>
    </row>
    <row r="175" spans="2:3" ht="14.5" x14ac:dyDescent="0.35">
      <c r="B175" s="8"/>
      <c r="C175" s="8"/>
    </row>
    <row r="176" spans="2:3" ht="14.5" x14ac:dyDescent="0.35">
      <c r="B176" s="8"/>
      <c r="C176" s="8"/>
    </row>
    <row r="177" spans="2:3" ht="14.5" x14ac:dyDescent="0.35">
      <c r="B177" s="8"/>
      <c r="C177" s="8"/>
    </row>
    <row r="178" spans="2:3" ht="14.5" x14ac:dyDescent="0.35">
      <c r="B178" s="8"/>
      <c r="C178" s="8"/>
    </row>
    <row r="179" spans="2:3" ht="14.5" x14ac:dyDescent="0.35">
      <c r="B179" s="8"/>
      <c r="C179" s="8"/>
    </row>
    <row r="180" spans="2:3" ht="14.5" x14ac:dyDescent="0.35">
      <c r="B180" s="8"/>
      <c r="C180" s="8"/>
    </row>
    <row r="181" spans="2:3" ht="14.5" x14ac:dyDescent="0.35">
      <c r="B181" s="8"/>
      <c r="C181" s="8"/>
    </row>
    <row r="182" spans="2:3" ht="14.5" x14ac:dyDescent="0.35">
      <c r="B182" s="8"/>
      <c r="C182" s="8"/>
    </row>
    <row r="183" spans="2:3" ht="14.5" x14ac:dyDescent="0.35">
      <c r="B183" s="8"/>
      <c r="C183" s="8"/>
    </row>
    <row r="184" spans="2:3" ht="14.5" x14ac:dyDescent="0.35">
      <c r="B184" s="8"/>
      <c r="C184" s="8"/>
    </row>
    <row r="185" spans="2:3" ht="14.5" x14ac:dyDescent="0.35">
      <c r="B185" s="8"/>
      <c r="C185" s="8"/>
    </row>
    <row r="186" spans="2:3" ht="14.5" x14ac:dyDescent="0.35">
      <c r="B186" s="8"/>
      <c r="C186" s="8"/>
    </row>
    <row r="187" spans="2:3" ht="14.5" x14ac:dyDescent="0.35">
      <c r="B187" s="8"/>
      <c r="C187" s="8"/>
    </row>
    <row r="188" spans="2:3" ht="14.5" x14ac:dyDescent="0.35">
      <c r="B188" s="8"/>
      <c r="C188" s="8"/>
    </row>
    <row r="189" spans="2:3" ht="14.5" x14ac:dyDescent="0.35">
      <c r="B189" s="8"/>
      <c r="C189" s="8"/>
    </row>
    <row r="190" spans="2:3" ht="14.5" x14ac:dyDescent="0.35">
      <c r="B190" s="8"/>
      <c r="C190" s="8"/>
    </row>
    <row r="191" spans="2:3" ht="14.5" x14ac:dyDescent="0.35">
      <c r="B191" s="8"/>
      <c r="C191" s="8"/>
    </row>
    <row r="192" spans="2:3" ht="14.5" x14ac:dyDescent="0.35">
      <c r="B192" s="8"/>
      <c r="C192" s="8"/>
    </row>
    <row r="193" spans="2:3" ht="14.5" x14ac:dyDescent="0.35">
      <c r="B193" s="8"/>
      <c r="C193" s="8"/>
    </row>
    <row r="194" spans="2:3" ht="14.5" x14ac:dyDescent="0.35">
      <c r="B194" s="8"/>
      <c r="C194" s="8"/>
    </row>
    <row r="195" spans="2:3" ht="14.5" x14ac:dyDescent="0.35">
      <c r="B195" s="8"/>
      <c r="C195" s="8"/>
    </row>
    <row r="196" spans="2:3" ht="14.5" x14ac:dyDescent="0.35">
      <c r="B196" s="8"/>
      <c r="C196" s="8"/>
    </row>
    <row r="197" spans="2:3" ht="14.5" x14ac:dyDescent="0.35">
      <c r="B197" s="8"/>
      <c r="C197" s="8"/>
    </row>
    <row r="198" spans="2:3" ht="14.5" x14ac:dyDescent="0.35">
      <c r="B198" s="8"/>
      <c r="C198" s="8"/>
    </row>
    <row r="199" spans="2:3" ht="14.5" x14ac:dyDescent="0.35">
      <c r="B199" s="8"/>
      <c r="C199" s="8"/>
    </row>
    <row r="200" spans="2:3" ht="14.5" x14ac:dyDescent="0.35">
      <c r="B200" s="8"/>
      <c r="C200" s="8"/>
    </row>
    <row r="201" spans="2:3" ht="14.5" x14ac:dyDescent="0.35">
      <c r="B201" s="8"/>
      <c r="C201" s="8"/>
    </row>
    <row r="202" spans="2:3" ht="14.5" x14ac:dyDescent="0.35">
      <c r="B202" s="8"/>
      <c r="C202" s="8"/>
    </row>
    <row r="203" spans="2:3" ht="14.5" x14ac:dyDescent="0.35">
      <c r="B203" s="8"/>
      <c r="C203" s="8"/>
    </row>
    <row r="204" spans="2:3" ht="14.5" x14ac:dyDescent="0.35">
      <c r="B204" s="8"/>
      <c r="C204" s="8"/>
    </row>
    <row r="205" spans="2:3" ht="14.5" x14ac:dyDescent="0.35">
      <c r="B205" s="8"/>
      <c r="C205" s="8"/>
    </row>
    <row r="206" spans="2:3" ht="14.5" x14ac:dyDescent="0.35">
      <c r="B206" s="8"/>
      <c r="C206" s="8"/>
    </row>
    <row r="207" spans="2:3" ht="14.5" x14ac:dyDescent="0.35">
      <c r="B207" s="8"/>
      <c r="C207" s="8"/>
    </row>
    <row r="208" spans="2:3" ht="14.5" x14ac:dyDescent="0.35">
      <c r="B208" s="8"/>
      <c r="C208" s="8"/>
    </row>
    <row r="209" spans="2:3" ht="14.5" x14ac:dyDescent="0.35">
      <c r="B209" s="8"/>
      <c r="C209" s="8"/>
    </row>
    <row r="210" spans="2:3" ht="14.5" x14ac:dyDescent="0.35">
      <c r="B210" s="8"/>
      <c r="C210" s="8"/>
    </row>
    <row r="211" spans="2:3" ht="14.5" x14ac:dyDescent="0.35">
      <c r="B211" s="8"/>
      <c r="C211" s="8"/>
    </row>
    <row r="212" spans="2:3" ht="14.5" x14ac:dyDescent="0.35">
      <c r="B212" s="8"/>
      <c r="C212" s="8"/>
    </row>
    <row r="213" spans="2:3" ht="14.5" x14ac:dyDescent="0.35">
      <c r="B213" s="8"/>
      <c r="C213" s="8"/>
    </row>
    <row r="214" spans="2:3" ht="14.5" x14ac:dyDescent="0.35">
      <c r="B214" s="8"/>
      <c r="C214" s="8"/>
    </row>
    <row r="215" spans="2:3" ht="14.5" x14ac:dyDescent="0.35">
      <c r="B215" s="8"/>
      <c r="C215" s="8"/>
    </row>
    <row r="216" spans="2:3" ht="14.5" x14ac:dyDescent="0.35">
      <c r="B216" s="8"/>
      <c r="C216" s="8"/>
    </row>
    <row r="217" spans="2:3" ht="14.5" x14ac:dyDescent="0.35">
      <c r="B217" s="8"/>
      <c r="C217" s="8"/>
    </row>
    <row r="218" spans="2:3" ht="14.5" x14ac:dyDescent="0.35">
      <c r="B218" s="8"/>
      <c r="C218" s="8"/>
    </row>
    <row r="219" spans="2:3" ht="14.5" x14ac:dyDescent="0.35">
      <c r="B219" s="8"/>
      <c r="C219" s="8"/>
    </row>
    <row r="220" spans="2:3" ht="14.5" x14ac:dyDescent="0.35">
      <c r="B220" s="8"/>
      <c r="C220" s="8"/>
    </row>
    <row r="221" spans="2:3" ht="14.5" x14ac:dyDescent="0.35">
      <c r="B221" s="8"/>
      <c r="C221" s="8"/>
    </row>
    <row r="222" spans="2:3" ht="14.5" x14ac:dyDescent="0.35">
      <c r="B222" s="8"/>
      <c r="C222" s="8"/>
    </row>
    <row r="223" spans="2:3" ht="14.5" x14ac:dyDescent="0.35">
      <c r="B223" s="8"/>
      <c r="C223" s="8"/>
    </row>
    <row r="224" spans="2:3" ht="14.5" x14ac:dyDescent="0.35">
      <c r="B224" s="8"/>
      <c r="C224" s="8"/>
    </row>
    <row r="225" spans="2:3" ht="14.5" x14ac:dyDescent="0.35">
      <c r="B225" s="8"/>
      <c r="C225" s="8"/>
    </row>
    <row r="226" spans="2:3" ht="14.5" x14ac:dyDescent="0.35">
      <c r="B226" s="8"/>
      <c r="C226" s="8"/>
    </row>
    <row r="227" spans="2:3" ht="14.5" x14ac:dyDescent="0.35">
      <c r="B227" s="8"/>
      <c r="C227" s="8"/>
    </row>
    <row r="228" spans="2:3" ht="14.5" x14ac:dyDescent="0.35">
      <c r="B228" s="8"/>
      <c r="C228" s="8"/>
    </row>
    <row r="229" spans="2:3" ht="14.5" x14ac:dyDescent="0.35">
      <c r="B229" s="8"/>
      <c r="C229" s="8"/>
    </row>
    <row r="230" spans="2:3" ht="14.5" x14ac:dyDescent="0.35">
      <c r="B230" s="8"/>
      <c r="C230" s="8"/>
    </row>
    <row r="231" spans="2:3" ht="14.5" x14ac:dyDescent="0.35">
      <c r="B231" s="8"/>
      <c r="C231" s="8"/>
    </row>
    <row r="232" spans="2:3" ht="14.5" x14ac:dyDescent="0.35">
      <c r="B232" s="8"/>
      <c r="C232" s="8"/>
    </row>
    <row r="233" spans="2:3" ht="14.5" x14ac:dyDescent="0.35">
      <c r="B233" s="8"/>
      <c r="C233" s="8"/>
    </row>
    <row r="234" spans="2:3" ht="14.5" x14ac:dyDescent="0.35">
      <c r="B234" s="8"/>
      <c r="C234" s="8"/>
    </row>
    <row r="235" spans="2:3" ht="14.5" x14ac:dyDescent="0.35">
      <c r="B235" s="8"/>
      <c r="C235" s="8"/>
    </row>
    <row r="236" spans="2:3" ht="14.5" x14ac:dyDescent="0.35">
      <c r="B236" s="8"/>
      <c r="C236" s="8"/>
    </row>
    <row r="237" spans="2:3" ht="14.5" x14ac:dyDescent="0.35">
      <c r="B237" s="8"/>
      <c r="C237" s="8"/>
    </row>
    <row r="238" spans="2:3" ht="14.5" x14ac:dyDescent="0.35">
      <c r="B238" s="8"/>
      <c r="C238" s="8"/>
    </row>
    <row r="239" spans="2:3" ht="14.5" x14ac:dyDescent="0.35">
      <c r="B239" s="8"/>
      <c r="C239" s="8"/>
    </row>
    <row r="240" spans="2:3" ht="14.5" x14ac:dyDescent="0.35">
      <c r="B240" s="8"/>
      <c r="C240" s="8"/>
    </row>
    <row r="241" spans="2:3" ht="14.5" x14ac:dyDescent="0.35">
      <c r="B241" s="8"/>
      <c r="C241" s="8"/>
    </row>
    <row r="242" spans="2:3" ht="14.5" x14ac:dyDescent="0.35">
      <c r="B242" s="8"/>
      <c r="C242" s="8"/>
    </row>
    <row r="243" spans="2:3" ht="14.5" x14ac:dyDescent="0.35">
      <c r="B243" s="8"/>
      <c r="C243" s="8"/>
    </row>
    <row r="244" spans="2:3" ht="14.5" x14ac:dyDescent="0.35">
      <c r="B244" s="8"/>
      <c r="C244" s="8"/>
    </row>
    <row r="245" spans="2:3" ht="14.5" x14ac:dyDescent="0.35">
      <c r="B245" s="8"/>
      <c r="C245" s="8"/>
    </row>
    <row r="246" spans="2:3" ht="14.5" x14ac:dyDescent="0.35">
      <c r="B246" s="8"/>
      <c r="C246" s="8"/>
    </row>
    <row r="247" spans="2:3" ht="14.5" x14ac:dyDescent="0.35">
      <c r="B247" s="8"/>
      <c r="C247" s="8"/>
    </row>
    <row r="248" spans="2:3" ht="14.5" x14ac:dyDescent="0.35">
      <c r="B248" s="8"/>
      <c r="C248" s="8"/>
    </row>
    <row r="249" spans="2:3" ht="14.5" x14ac:dyDescent="0.35">
      <c r="B249" s="8"/>
      <c r="C249" s="8"/>
    </row>
    <row r="250" spans="2:3" ht="14.5" x14ac:dyDescent="0.35">
      <c r="B250" s="8"/>
      <c r="C250" s="8"/>
    </row>
    <row r="251" spans="2:3" ht="14.5" x14ac:dyDescent="0.35">
      <c r="B251" s="8"/>
      <c r="C251" s="8"/>
    </row>
    <row r="252" spans="2:3" ht="14.5" x14ac:dyDescent="0.35">
      <c r="B252" s="8"/>
      <c r="C252" s="8"/>
    </row>
    <row r="253" spans="2:3" ht="14.5" x14ac:dyDescent="0.35">
      <c r="B253" s="8"/>
      <c r="C253" s="8"/>
    </row>
    <row r="254" spans="2:3" ht="14.5" x14ac:dyDescent="0.35">
      <c r="B254" s="8"/>
      <c r="C254" s="8"/>
    </row>
    <row r="255" spans="2:3" ht="14.5" x14ac:dyDescent="0.35">
      <c r="B255" s="8"/>
      <c r="C255" s="8"/>
    </row>
    <row r="256" spans="2:3" ht="14.5" x14ac:dyDescent="0.35">
      <c r="B256" s="8"/>
      <c r="C256" s="8"/>
    </row>
    <row r="257" spans="2:3" ht="14.5" x14ac:dyDescent="0.35">
      <c r="B257" s="8"/>
      <c r="C257" s="8"/>
    </row>
    <row r="258" spans="2:3" ht="14.5" x14ac:dyDescent="0.35">
      <c r="B258" s="8"/>
      <c r="C258" s="8"/>
    </row>
    <row r="259" spans="2:3" ht="14.5" x14ac:dyDescent="0.35">
      <c r="B259" s="8"/>
      <c r="C259" s="8"/>
    </row>
    <row r="260" spans="2:3" ht="14.5" x14ac:dyDescent="0.35">
      <c r="B260" s="8"/>
      <c r="C260" s="8"/>
    </row>
    <row r="261" spans="2:3" ht="14.5" x14ac:dyDescent="0.35">
      <c r="B261" s="8"/>
      <c r="C261" s="8"/>
    </row>
    <row r="262" spans="2:3" ht="14.5" x14ac:dyDescent="0.35">
      <c r="B262" s="8"/>
      <c r="C262" s="8"/>
    </row>
    <row r="263" spans="2:3" ht="14.5" x14ac:dyDescent="0.35">
      <c r="B263" s="8"/>
      <c r="C263" s="8"/>
    </row>
    <row r="264" spans="2:3" ht="14.5" x14ac:dyDescent="0.35">
      <c r="B264" s="8"/>
      <c r="C264" s="8"/>
    </row>
    <row r="265" spans="2:3" ht="14.5" x14ac:dyDescent="0.35">
      <c r="B265" s="8"/>
      <c r="C265" s="8"/>
    </row>
    <row r="266" spans="2:3" ht="14.5" x14ac:dyDescent="0.35">
      <c r="B266" s="8"/>
      <c r="C266" s="8"/>
    </row>
    <row r="267" spans="2:3" ht="14.5" x14ac:dyDescent="0.35">
      <c r="B267" s="8"/>
      <c r="C267" s="8"/>
    </row>
    <row r="268" spans="2:3" ht="14.5" x14ac:dyDescent="0.35">
      <c r="B268" s="8"/>
      <c r="C268" s="8"/>
    </row>
    <row r="269" spans="2:3" ht="14.5" x14ac:dyDescent="0.35">
      <c r="B269" s="8"/>
      <c r="C269" s="8"/>
    </row>
    <row r="270" spans="2:3" ht="14.5" x14ac:dyDescent="0.35">
      <c r="B270" s="8"/>
      <c r="C270" s="8"/>
    </row>
    <row r="271" spans="2:3" ht="14.5" x14ac:dyDescent="0.35">
      <c r="B271" s="8"/>
      <c r="C271" s="8"/>
    </row>
    <row r="272" spans="2:3" ht="14.5" x14ac:dyDescent="0.35">
      <c r="B272" s="8"/>
      <c r="C272" s="8"/>
    </row>
    <row r="273" spans="2:3" ht="14.5" x14ac:dyDescent="0.35">
      <c r="B273" s="8"/>
      <c r="C273" s="8"/>
    </row>
    <row r="274" spans="2:3" ht="14.5" x14ac:dyDescent="0.35">
      <c r="B274" s="8"/>
      <c r="C274" s="8"/>
    </row>
    <row r="275" spans="2:3" ht="14.5" x14ac:dyDescent="0.35">
      <c r="B275" s="8"/>
      <c r="C275" s="8"/>
    </row>
    <row r="276" spans="2:3" ht="14.5" x14ac:dyDescent="0.35">
      <c r="B276" s="8"/>
      <c r="C276" s="8"/>
    </row>
    <row r="277" spans="2:3" ht="14.5" x14ac:dyDescent="0.35">
      <c r="B277" s="8"/>
      <c r="C277" s="8"/>
    </row>
    <row r="278" spans="2:3" ht="14.5" x14ac:dyDescent="0.35">
      <c r="B278" s="8"/>
      <c r="C278" s="8"/>
    </row>
    <row r="279" spans="2:3" ht="14.5" x14ac:dyDescent="0.35">
      <c r="B279" s="8"/>
      <c r="C279" s="8"/>
    </row>
    <row r="280" spans="2:3" ht="14.5" x14ac:dyDescent="0.35">
      <c r="B280" s="8"/>
      <c r="C280" s="8"/>
    </row>
    <row r="281" spans="2:3" ht="14.5" x14ac:dyDescent="0.35">
      <c r="B281" s="8"/>
      <c r="C281" s="8"/>
    </row>
    <row r="282" spans="2:3" ht="14.5" x14ac:dyDescent="0.35">
      <c r="B282" s="8"/>
      <c r="C282" s="8"/>
    </row>
    <row r="283" spans="2:3" ht="14.5" x14ac:dyDescent="0.35">
      <c r="B283" s="8"/>
      <c r="C283" s="8"/>
    </row>
    <row r="284" spans="2:3" ht="14.5" x14ac:dyDescent="0.35">
      <c r="B284" s="8"/>
      <c r="C284" s="8"/>
    </row>
    <row r="285" spans="2:3" ht="14.5" x14ac:dyDescent="0.35">
      <c r="B285" s="8"/>
      <c r="C285" s="8"/>
    </row>
    <row r="286" spans="2:3" ht="14.5" x14ac:dyDescent="0.35">
      <c r="B286" s="8"/>
      <c r="C286" s="8"/>
    </row>
    <row r="287" spans="2:3" ht="14.5" x14ac:dyDescent="0.35">
      <c r="B287" s="8"/>
      <c r="C287" s="8"/>
    </row>
    <row r="288" spans="2:3" ht="14.5" x14ac:dyDescent="0.35">
      <c r="B288" s="8"/>
      <c r="C288" s="8"/>
    </row>
    <row r="289" spans="2:3" ht="14.5" x14ac:dyDescent="0.35">
      <c r="B289" s="8"/>
      <c r="C289" s="8"/>
    </row>
    <row r="290" spans="2:3" ht="14.5" x14ac:dyDescent="0.35">
      <c r="B290" s="8"/>
      <c r="C290" s="8"/>
    </row>
    <row r="291" spans="2:3" ht="14.5" x14ac:dyDescent="0.35">
      <c r="B291" s="8"/>
      <c r="C291" s="8"/>
    </row>
    <row r="292" spans="2:3" ht="14.5" x14ac:dyDescent="0.35">
      <c r="B292" s="8"/>
      <c r="C292" s="8"/>
    </row>
    <row r="293" spans="2:3" ht="14.5" x14ac:dyDescent="0.35">
      <c r="B293" s="8"/>
      <c r="C293" s="8"/>
    </row>
    <row r="294" spans="2:3" ht="14.5" x14ac:dyDescent="0.35">
      <c r="B294" s="8"/>
      <c r="C294" s="8"/>
    </row>
    <row r="295" spans="2:3" ht="14.5" x14ac:dyDescent="0.35">
      <c r="B295" s="8"/>
      <c r="C295" s="8"/>
    </row>
    <row r="296" spans="2:3" ht="14.5" x14ac:dyDescent="0.35">
      <c r="B296" s="8"/>
      <c r="C296" s="8"/>
    </row>
    <row r="297" spans="2:3" ht="14.5" x14ac:dyDescent="0.35">
      <c r="B297" s="8"/>
      <c r="C297" s="8"/>
    </row>
    <row r="298" spans="2:3" ht="14.5" x14ac:dyDescent="0.35">
      <c r="B298" s="8"/>
      <c r="C298" s="8"/>
    </row>
    <row r="299" spans="2:3" ht="14.5" x14ac:dyDescent="0.35">
      <c r="B299" s="8"/>
      <c r="C299" s="8"/>
    </row>
    <row r="300" spans="2:3" ht="14.5" x14ac:dyDescent="0.35">
      <c r="B300" s="8"/>
      <c r="C300" s="8"/>
    </row>
    <row r="301" spans="2:3" ht="14.5" x14ac:dyDescent="0.35">
      <c r="B301" s="8"/>
      <c r="C301" s="8"/>
    </row>
    <row r="302" spans="2:3" ht="14.5" x14ac:dyDescent="0.35">
      <c r="B302" s="8"/>
      <c r="C302" s="8"/>
    </row>
    <row r="303" spans="2:3" ht="14.5" x14ac:dyDescent="0.35">
      <c r="B303" s="8"/>
      <c r="C303" s="8"/>
    </row>
    <row r="304" spans="2:3" ht="14.5" x14ac:dyDescent="0.35">
      <c r="B304" s="8"/>
      <c r="C304" s="8"/>
    </row>
    <row r="305" spans="2:3" ht="14.5" x14ac:dyDescent="0.35">
      <c r="B305" s="8"/>
      <c r="C305" s="8"/>
    </row>
    <row r="306" spans="2:3" ht="14.5" x14ac:dyDescent="0.35">
      <c r="B306" s="8"/>
      <c r="C306" s="8"/>
    </row>
    <row r="307" spans="2:3" ht="14.5" x14ac:dyDescent="0.35">
      <c r="B307" s="8"/>
      <c r="C307" s="8"/>
    </row>
    <row r="308" spans="2:3" ht="14.5" x14ac:dyDescent="0.35">
      <c r="B308" s="8"/>
      <c r="C308" s="8"/>
    </row>
    <row r="309" spans="2:3" ht="14.5" x14ac:dyDescent="0.35">
      <c r="B309" s="8"/>
      <c r="C309" s="8"/>
    </row>
    <row r="310" spans="2:3" ht="14.5" x14ac:dyDescent="0.35">
      <c r="B310" s="8"/>
      <c r="C310" s="8"/>
    </row>
    <row r="311" spans="2:3" ht="14.5" x14ac:dyDescent="0.35">
      <c r="B311" s="8"/>
      <c r="C311" s="8"/>
    </row>
    <row r="312" spans="2:3" ht="14.5" x14ac:dyDescent="0.35">
      <c r="B312" s="8"/>
      <c r="C312" s="8"/>
    </row>
    <row r="313" spans="2:3" ht="14.5" x14ac:dyDescent="0.35">
      <c r="B313" s="8"/>
      <c r="C313" s="8"/>
    </row>
    <row r="314" spans="2:3" ht="14.5" x14ac:dyDescent="0.35">
      <c r="B314" s="8"/>
      <c r="C314" s="8"/>
    </row>
    <row r="315" spans="2:3" ht="14.5" x14ac:dyDescent="0.35">
      <c r="B315" s="8"/>
      <c r="C315" s="8"/>
    </row>
    <row r="316" spans="2:3" ht="14.5" x14ac:dyDescent="0.35">
      <c r="B316" s="8"/>
      <c r="C316" s="8"/>
    </row>
    <row r="317" spans="2:3" ht="14.5" x14ac:dyDescent="0.35">
      <c r="B317" s="8"/>
      <c r="C317" s="8"/>
    </row>
    <row r="318" spans="2:3" ht="14.5" x14ac:dyDescent="0.35">
      <c r="B318" s="8"/>
      <c r="C318" s="8"/>
    </row>
    <row r="319" spans="2:3" ht="14.5" x14ac:dyDescent="0.35">
      <c r="B319" s="8"/>
      <c r="C319" s="8"/>
    </row>
    <row r="320" spans="2:3" ht="14.5" x14ac:dyDescent="0.35">
      <c r="B320" s="8"/>
      <c r="C320" s="8"/>
    </row>
    <row r="321" spans="2:3" ht="14.5" x14ac:dyDescent="0.35">
      <c r="B321" s="8"/>
      <c r="C321" s="8"/>
    </row>
    <row r="322" spans="2:3" ht="14.5" x14ac:dyDescent="0.35">
      <c r="B322" s="8"/>
      <c r="C322" s="8"/>
    </row>
    <row r="323" spans="2:3" ht="14.5" x14ac:dyDescent="0.35">
      <c r="B323" s="8"/>
      <c r="C323" s="8"/>
    </row>
    <row r="324" spans="2:3" ht="14.5" x14ac:dyDescent="0.35">
      <c r="B324" s="8"/>
      <c r="C324" s="8"/>
    </row>
    <row r="325" spans="2:3" ht="14.5" x14ac:dyDescent="0.35">
      <c r="B325" s="8"/>
      <c r="C325" s="8"/>
    </row>
    <row r="326" spans="2:3" ht="14.5" x14ac:dyDescent="0.35">
      <c r="B326" s="8"/>
      <c r="C326" s="8"/>
    </row>
    <row r="327" spans="2:3" ht="14.5" x14ac:dyDescent="0.35">
      <c r="B327" s="8"/>
      <c r="C327" s="8"/>
    </row>
    <row r="328" spans="2:3" ht="14.5" x14ac:dyDescent="0.35">
      <c r="B328" s="8"/>
      <c r="C328" s="8"/>
    </row>
    <row r="329" spans="2:3" ht="14.5" x14ac:dyDescent="0.35">
      <c r="B329" s="8"/>
      <c r="C329" s="8"/>
    </row>
    <row r="330" spans="2:3" ht="14.5" x14ac:dyDescent="0.35">
      <c r="B330" s="8"/>
      <c r="C330" s="8"/>
    </row>
    <row r="331" spans="2:3" ht="14.5" x14ac:dyDescent="0.35">
      <c r="B331" s="8"/>
      <c r="C331" s="8"/>
    </row>
    <row r="332" spans="2:3" ht="14.5" x14ac:dyDescent="0.35">
      <c r="B332" s="8"/>
      <c r="C332" s="8"/>
    </row>
    <row r="333" spans="2:3" ht="14.5" x14ac:dyDescent="0.35">
      <c r="B333" s="8"/>
      <c r="C333" s="8"/>
    </row>
    <row r="334" spans="2:3" ht="14.5" x14ac:dyDescent="0.35">
      <c r="B334" s="8"/>
      <c r="C334" s="8"/>
    </row>
    <row r="335" spans="2:3" ht="14.5" x14ac:dyDescent="0.35">
      <c r="B335" s="8"/>
      <c r="C335" s="8"/>
    </row>
    <row r="336" spans="2:3" ht="14.5" x14ac:dyDescent="0.35">
      <c r="B336" s="8"/>
      <c r="C336" s="8"/>
    </row>
    <row r="337" spans="2:3" ht="14.5" x14ac:dyDescent="0.35">
      <c r="B337" s="8"/>
      <c r="C337" s="8"/>
    </row>
    <row r="338" spans="2:3" ht="14.5" x14ac:dyDescent="0.35">
      <c r="B338" s="8"/>
      <c r="C338" s="8"/>
    </row>
    <row r="339" spans="2:3" ht="14.5" x14ac:dyDescent="0.35">
      <c r="B339" s="8"/>
      <c r="C339" s="8"/>
    </row>
    <row r="340" spans="2:3" ht="14.5" x14ac:dyDescent="0.35">
      <c r="B340" s="8"/>
      <c r="C340" s="8"/>
    </row>
    <row r="341" spans="2:3" ht="14.5" x14ac:dyDescent="0.35">
      <c r="B341" s="8"/>
      <c r="C341" s="8"/>
    </row>
    <row r="342" spans="2:3" ht="14.5" x14ac:dyDescent="0.35">
      <c r="B342" s="8"/>
      <c r="C342" s="8"/>
    </row>
    <row r="343" spans="2:3" ht="14.5" x14ac:dyDescent="0.35">
      <c r="B343" s="8"/>
      <c r="C343" s="8"/>
    </row>
    <row r="344" spans="2:3" ht="14.5" x14ac:dyDescent="0.35">
      <c r="B344" s="8"/>
      <c r="C344" s="8"/>
    </row>
    <row r="345" spans="2:3" ht="14.5" x14ac:dyDescent="0.35">
      <c r="B345" s="8"/>
      <c r="C345" s="8"/>
    </row>
    <row r="346" spans="2:3" ht="14.5" x14ac:dyDescent="0.35">
      <c r="B346" s="8"/>
      <c r="C346" s="8"/>
    </row>
    <row r="347" spans="2:3" ht="14.5" x14ac:dyDescent="0.35">
      <c r="B347" s="8"/>
      <c r="C347" s="8"/>
    </row>
    <row r="348" spans="2:3" ht="14.5" x14ac:dyDescent="0.35">
      <c r="B348" s="8"/>
      <c r="C348" s="8"/>
    </row>
    <row r="349" spans="2:3" ht="14.5" x14ac:dyDescent="0.35">
      <c r="B349" s="8"/>
      <c r="C349" s="8"/>
    </row>
    <row r="350" spans="2:3" ht="14.5" x14ac:dyDescent="0.35">
      <c r="B350" s="8"/>
      <c r="C350" s="8"/>
    </row>
    <row r="351" spans="2:3" ht="14.5" x14ac:dyDescent="0.35">
      <c r="B351" s="8"/>
      <c r="C351" s="8"/>
    </row>
    <row r="352" spans="2:3" ht="14.5" x14ac:dyDescent="0.35">
      <c r="B352" s="8"/>
      <c r="C352" s="8"/>
    </row>
    <row r="353" spans="2:3" ht="14.5" x14ac:dyDescent="0.35">
      <c r="B353" s="8"/>
      <c r="C353" s="8"/>
    </row>
    <row r="354" spans="2:3" ht="14.5" x14ac:dyDescent="0.35">
      <c r="B354" s="8"/>
      <c r="C354" s="8"/>
    </row>
    <row r="355" spans="2:3" ht="14.5" x14ac:dyDescent="0.35">
      <c r="B355" s="8"/>
      <c r="C355" s="8"/>
    </row>
    <row r="356" spans="2:3" ht="14.5" x14ac:dyDescent="0.35">
      <c r="B356" s="8"/>
      <c r="C356" s="8"/>
    </row>
    <row r="357" spans="2:3" ht="14.5" x14ac:dyDescent="0.35">
      <c r="B357" s="8"/>
      <c r="C357" s="8"/>
    </row>
    <row r="358" spans="2:3" ht="14.5" x14ac:dyDescent="0.35">
      <c r="B358" s="8"/>
      <c r="C358" s="8"/>
    </row>
    <row r="359" spans="2:3" ht="14.5" x14ac:dyDescent="0.35">
      <c r="B359" s="8"/>
      <c r="C359" s="8"/>
    </row>
    <row r="360" spans="2:3" ht="14.5" x14ac:dyDescent="0.35">
      <c r="B360" s="8"/>
      <c r="C360" s="8"/>
    </row>
    <row r="361" spans="2:3" ht="14.5" x14ac:dyDescent="0.35">
      <c r="B361" s="8"/>
      <c r="C361" s="8"/>
    </row>
    <row r="362" spans="2:3" ht="14.5" x14ac:dyDescent="0.35">
      <c r="B362" s="8"/>
      <c r="C362" s="8"/>
    </row>
    <row r="363" spans="2:3" ht="14.5" x14ac:dyDescent="0.35">
      <c r="B363" s="8"/>
      <c r="C363" s="8"/>
    </row>
    <row r="364" spans="2:3" ht="14.5" x14ac:dyDescent="0.35">
      <c r="B364" s="8"/>
      <c r="C364" s="8"/>
    </row>
    <row r="365" spans="2:3" ht="14.5" x14ac:dyDescent="0.35">
      <c r="B365" s="8"/>
      <c r="C365" s="8"/>
    </row>
    <row r="366" spans="2:3" ht="14.5" x14ac:dyDescent="0.35">
      <c r="B366" s="8"/>
      <c r="C366" s="8"/>
    </row>
    <row r="367" spans="2:3" ht="14.5" x14ac:dyDescent="0.35">
      <c r="B367" s="8"/>
      <c r="C367" s="8"/>
    </row>
    <row r="368" spans="2:3" ht="14.5" x14ac:dyDescent="0.35">
      <c r="B368" s="8"/>
      <c r="C368" s="8"/>
    </row>
    <row r="369" spans="2:3" ht="14.5" x14ac:dyDescent="0.35">
      <c r="B369" s="8"/>
      <c r="C369" s="8"/>
    </row>
    <row r="370" spans="2:3" ht="14.5" x14ac:dyDescent="0.35">
      <c r="B370" s="8"/>
      <c r="C370" s="8"/>
    </row>
    <row r="371" spans="2:3" ht="14.5" x14ac:dyDescent="0.35">
      <c r="B371" s="8"/>
      <c r="C371" s="8"/>
    </row>
    <row r="372" spans="2:3" ht="14.5" x14ac:dyDescent="0.35">
      <c r="B372" s="8"/>
      <c r="C372" s="8"/>
    </row>
    <row r="373" spans="2:3" ht="14.5" x14ac:dyDescent="0.35">
      <c r="B373" s="8"/>
      <c r="C373" s="8"/>
    </row>
    <row r="374" spans="2:3" ht="14.5" x14ac:dyDescent="0.35">
      <c r="B374" s="8"/>
      <c r="C374" s="8"/>
    </row>
    <row r="375" spans="2:3" ht="14.5" x14ac:dyDescent="0.35">
      <c r="B375" s="8"/>
      <c r="C375" s="8"/>
    </row>
    <row r="376" spans="2:3" ht="14.5" x14ac:dyDescent="0.35">
      <c r="B376" s="8"/>
      <c r="C376" s="8"/>
    </row>
    <row r="377" spans="2:3" ht="14.5" x14ac:dyDescent="0.35">
      <c r="B377" s="8"/>
      <c r="C377" s="8"/>
    </row>
    <row r="378" spans="2:3" ht="14.5" x14ac:dyDescent="0.35">
      <c r="B378" s="8"/>
      <c r="C378" s="8"/>
    </row>
    <row r="379" spans="2:3" ht="14.5" x14ac:dyDescent="0.35">
      <c r="B379" s="8"/>
      <c r="C379" s="8"/>
    </row>
    <row r="380" spans="2:3" ht="14.5" x14ac:dyDescent="0.35">
      <c r="B380" s="8"/>
      <c r="C380" s="8"/>
    </row>
    <row r="381" spans="2:3" ht="14.5" x14ac:dyDescent="0.35">
      <c r="B381" s="8"/>
      <c r="C381" s="8"/>
    </row>
    <row r="382" spans="2:3" ht="14.5" x14ac:dyDescent="0.35">
      <c r="B382" s="8"/>
      <c r="C382" s="8"/>
    </row>
    <row r="383" spans="2:3" ht="14.5" x14ac:dyDescent="0.35">
      <c r="B383" s="8"/>
      <c r="C383" s="8"/>
    </row>
    <row r="384" spans="2:3" ht="14.5" x14ac:dyDescent="0.35">
      <c r="B384" s="8"/>
      <c r="C384" s="8"/>
    </row>
    <row r="385" spans="2:3" ht="14.5" x14ac:dyDescent="0.35">
      <c r="B385" s="8"/>
      <c r="C385" s="8"/>
    </row>
    <row r="386" spans="2:3" ht="14.5" x14ac:dyDescent="0.35">
      <c r="B386" s="8"/>
      <c r="C386" s="8"/>
    </row>
    <row r="387" spans="2:3" ht="14.5" x14ac:dyDescent="0.35">
      <c r="B387" s="8"/>
      <c r="C387" s="8"/>
    </row>
    <row r="388" spans="2:3" ht="14.5" x14ac:dyDescent="0.35">
      <c r="B388" s="8"/>
      <c r="C388" s="8"/>
    </row>
    <row r="389" spans="2:3" ht="14.5" x14ac:dyDescent="0.35">
      <c r="B389" s="8"/>
      <c r="C389" s="8"/>
    </row>
    <row r="390" spans="2:3" ht="14.5" x14ac:dyDescent="0.35">
      <c r="B390" s="8"/>
      <c r="C390" s="8"/>
    </row>
    <row r="391" spans="2:3" ht="14.5" x14ac:dyDescent="0.35">
      <c r="B391" s="8"/>
      <c r="C391" s="8"/>
    </row>
    <row r="392" spans="2:3" ht="14.5" x14ac:dyDescent="0.35">
      <c r="B392" s="8"/>
      <c r="C392" s="8"/>
    </row>
    <row r="393" spans="2:3" ht="14.5" x14ac:dyDescent="0.35">
      <c r="B393" s="8"/>
      <c r="C393" s="8"/>
    </row>
    <row r="394" spans="2:3" ht="14.5" x14ac:dyDescent="0.35">
      <c r="B394" s="8"/>
      <c r="C394" s="8"/>
    </row>
    <row r="395" spans="2:3" ht="14.5" x14ac:dyDescent="0.35">
      <c r="B395" s="8"/>
      <c r="C395" s="8"/>
    </row>
    <row r="396" spans="2:3" ht="14.5" x14ac:dyDescent="0.35">
      <c r="B396" s="8"/>
      <c r="C396" s="8"/>
    </row>
    <row r="397" spans="2:3" ht="14.5" x14ac:dyDescent="0.35">
      <c r="B397" s="8"/>
      <c r="C397" s="8"/>
    </row>
    <row r="398" spans="2:3" ht="14.5" x14ac:dyDescent="0.35">
      <c r="B398" s="8"/>
      <c r="C398" s="8"/>
    </row>
    <row r="399" spans="2:3" ht="14.5" x14ac:dyDescent="0.35">
      <c r="B399" s="8"/>
      <c r="C399" s="8"/>
    </row>
    <row r="400" spans="2:3" ht="14.5" x14ac:dyDescent="0.35">
      <c r="B400" s="8"/>
      <c r="C400" s="8"/>
    </row>
    <row r="401" spans="2:3" ht="14.5" x14ac:dyDescent="0.35">
      <c r="B401" s="8"/>
      <c r="C401" s="8"/>
    </row>
    <row r="402" spans="2:3" ht="14.5" x14ac:dyDescent="0.35">
      <c r="B402" s="8"/>
      <c r="C402" s="8"/>
    </row>
    <row r="403" spans="2:3" ht="14.5" x14ac:dyDescent="0.35">
      <c r="B403" s="8"/>
      <c r="C403" s="8"/>
    </row>
    <row r="404" spans="2:3" ht="14.5" x14ac:dyDescent="0.35">
      <c r="B404" s="8"/>
      <c r="C404" s="8"/>
    </row>
    <row r="405" spans="2:3" ht="14.5" x14ac:dyDescent="0.35">
      <c r="B405" s="8"/>
      <c r="C405" s="8"/>
    </row>
    <row r="406" spans="2:3" ht="14.5" x14ac:dyDescent="0.35">
      <c r="B406" s="8"/>
      <c r="C406" s="8"/>
    </row>
    <row r="407" spans="2:3" ht="14.5" x14ac:dyDescent="0.35">
      <c r="B407" s="8"/>
      <c r="C407" s="8"/>
    </row>
    <row r="408" spans="2:3" ht="14.5" x14ac:dyDescent="0.35">
      <c r="B408" s="8"/>
      <c r="C408" s="8"/>
    </row>
    <row r="409" spans="2:3" ht="14.5" x14ac:dyDescent="0.35">
      <c r="B409" s="8"/>
      <c r="C409" s="8"/>
    </row>
    <row r="410" spans="2:3" ht="14.5" x14ac:dyDescent="0.35">
      <c r="B410" s="8"/>
      <c r="C410" s="8"/>
    </row>
    <row r="411" spans="2:3" ht="14.5" x14ac:dyDescent="0.35">
      <c r="B411" s="8"/>
      <c r="C411" s="8"/>
    </row>
    <row r="412" spans="2:3" ht="14.5" x14ac:dyDescent="0.35">
      <c r="B412" s="8"/>
      <c r="C412" s="8"/>
    </row>
    <row r="413" spans="2:3" ht="14.5" x14ac:dyDescent="0.35">
      <c r="B413" s="8"/>
      <c r="C413" s="8"/>
    </row>
    <row r="414" spans="2:3" ht="14.5" x14ac:dyDescent="0.35">
      <c r="B414" s="8"/>
      <c r="C414" s="8"/>
    </row>
    <row r="415" spans="2:3" ht="14.5" x14ac:dyDescent="0.35">
      <c r="B415" s="8"/>
      <c r="C415" s="8"/>
    </row>
    <row r="416" spans="2:3" ht="14.5" x14ac:dyDescent="0.35">
      <c r="B416" s="8"/>
      <c r="C416" s="8"/>
    </row>
    <row r="417" spans="2:3" ht="14.5" x14ac:dyDescent="0.35">
      <c r="B417" s="8"/>
      <c r="C417" s="8"/>
    </row>
    <row r="418" spans="2:3" ht="14.5" x14ac:dyDescent="0.35">
      <c r="B418" s="8"/>
      <c r="C418" s="8"/>
    </row>
    <row r="419" spans="2:3" ht="14.5" x14ac:dyDescent="0.35">
      <c r="B419" s="8"/>
      <c r="C419" s="8"/>
    </row>
    <row r="420" spans="2:3" ht="14.5" x14ac:dyDescent="0.35">
      <c r="B420" s="8"/>
      <c r="C420" s="8"/>
    </row>
    <row r="421" spans="2:3" ht="14.5" x14ac:dyDescent="0.35">
      <c r="B421" s="8"/>
      <c r="C421" s="8"/>
    </row>
    <row r="422" spans="2:3" ht="14.5" x14ac:dyDescent="0.35">
      <c r="B422" s="8"/>
      <c r="C422" s="8"/>
    </row>
    <row r="423" spans="2:3" ht="14.5" x14ac:dyDescent="0.35">
      <c r="B423" s="8"/>
      <c r="C423" s="8"/>
    </row>
    <row r="424" spans="2:3" ht="14.5" x14ac:dyDescent="0.35">
      <c r="B424" s="8"/>
      <c r="C424" s="8"/>
    </row>
    <row r="425" spans="2:3" ht="14.5" x14ac:dyDescent="0.35">
      <c r="B425" s="8"/>
      <c r="C425" s="8"/>
    </row>
    <row r="426" spans="2:3" ht="14.5" x14ac:dyDescent="0.35">
      <c r="B426" s="8"/>
      <c r="C426" s="8"/>
    </row>
    <row r="427" spans="2:3" ht="14.5" x14ac:dyDescent="0.35">
      <c r="B427" s="8"/>
      <c r="C427" s="8"/>
    </row>
    <row r="428" spans="2:3" ht="14.5" x14ac:dyDescent="0.35">
      <c r="B428" s="8"/>
      <c r="C428" s="8"/>
    </row>
    <row r="429" spans="2:3" ht="14.5" x14ac:dyDescent="0.35">
      <c r="B429" s="8"/>
      <c r="C429" s="8"/>
    </row>
    <row r="430" spans="2:3" ht="14.5" x14ac:dyDescent="0.35">
      <c r="B430" s="8"/>
      <c r="C430" s="8"/>
    </row>
    <row r="431" spans="2:3" ht="14.5" x14ac:dyDescent="0.35">
      <c r="B431" s="8"/>
      <c r="C431" s="8"/>
    </row>
    <row r="432" spans="2:3" ht="14.5" x14ac:dyDescent="0.35">
      <c r="B432" s="8"/>
      <c r="C432" s="8"/>
    </row>
    <row r="433" spans="2:3" ht="14.5" x14ac:dyDescent="0.35">
      <c r="B433" s="8"/>
      <c r="C433" s="8"/>
    </row>
    <row r="434" spans="2:3" ht="14.5" x14ac:dyDescent="0.35">
      <c r="B434" s="8"/>
      <c r="C434" s="8"/>
    </row>
    <row r="435" spans="2:3" ht="14.5" x14ac:dyDescent="0.35">
      <c r="B435" s="8"/>
      <c r="C435" s="8"/>
    </row>
    <row r="436" spans="2:3" ht="14.5" x14ac:dyDescent="0.35">
      <c r="B436" s="8"/>
      <c r="C436" s="8"/>
    </row>
    <row r="437" spans="2:3" ht="14.5" x14ac:dyDescent="0.35">
      <c r="B437" s="8"/>
      <c r="C437" s="8"/>
    </row>
    <row r="438" spans="2:3" ht="14.5" x14ac:dyDescent="0.35">
      <c r="B438" s="8"/>
    </row>
    <row r="439" spans="2:3" ht="14.5" x14ac:dyDescent="0.35">
      <c r="B439" s="8"/>
    </row>
    <row r="440" spans="2:3" ht="14.5" x14ac:dyDescent="0.35">
      <c r="B440" s="8"/>
    </row>
    <row r="441" spans="2:3" ht="14.5" x14ac:dyDescent="0.35">
      <c r="B441" s="8"/>
    </row>
    <row r="442" spans="2:3" ht="14.5" x14ac:dyDescent="0.35">
      <c r="B442" s="8"/>
    </row>
  </sheetData>
  <conditionalFormatting sqref="G4:H14">
    <cfRule type="iconSet" priority="1">
      <iconSet>
        <cfvo type="percent" val="0"/>
        <cfvo type="num" val="0"/>
        <cfvo type="num" val="0.1"/>
      </iconSet>
    </cfRule>
  </conditionalFormatting>
  <pageMargins left="0.7" right="0.7" top="0.75" bottom="0.75" header="0.3" footer="0.3"/>
  <ignoredErrors>
    <ignoredError sqref="C7:E7 C9:E9 C11:E11 C13:E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Source</vt:lpstr>
      <vt:lpstr>Exercise --&gt;</vt:lpstr>
      <vt:lpstr>1.1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2016-02-10T00:20:36Z</dcterms:created>
  <dcterms:modified xsi:type="dcterms:W3CDTF">2026-02-19T14:27:47Z</dcterms:modified>
</cp:coreProperties>
</file>