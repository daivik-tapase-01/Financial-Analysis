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22E68647-3C60-695B-3CA0-4895CD717B8A}"/>
  <workbookPr filterPrivacy="1" codeName="ThisWorkbook" defaultThemeVersion="124226"/>
  <xr:revisionPtr revIDLastSave="0" documentId="13_ncr:1_{A8C1B2D1-BA7B-4F1E-9262-8C808C693F1C}" xr6:coauthVersionLast="47" xr6:coauthVersionMax="47" xr10:uidLastSave="{00000000-0000-0000-0000-000000000000}"/>
  <bookViews>
    <workbookView xWindow="-110" yWindow="-110" windowWidth="19420" windowHeight="11020" firstSheet="8" activeTab="11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 --&gt;" sheetId="24" r:id="rId10"/>
    <sheet name="3.1 Column stacked chart" sheetId="29" r:id="rId11"/>
    <sheet name="3.2 Dougnut chart" sheetId="28" r:id="rId12"/>
    <sheet name="3.3 Area &amp; line chart" sheetId="26" r:id="rId13"/>
    <sheet name="3.4 Bridge Chart" sheetId="27" r:id="rId14"/>
  </sheets>
  <definedNames>
    <definedName name="_xlnm._FilterDatabase" localSheetId="3" hidden="1">'1.1 FY2016'!$C$4:$G$62</definedName>
    <definedName name="_xlnm._FilterDatabase" localSheetId="4" hidden="1">'1.2 FY2017'!$C$4:$H$86</definedName>
    <definedName name="_xlnm._FilterDatabase" localSheetId="5" hidden="1">'1.3 FY2018'!$C$4:$H$78</definedName>
    <definedName name="_xlnm._FilterDatabase" localSheetId="7" hidden="1">'2.1 Database'!$J$3:$K$108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6" l="1"/>
  <c r="D3" i="26"/>
  <c r="C3" i="26"/>
  <c r="E3" i="28"/>
  <c r="D3" i="28"/>
  <c r="C3" i="28"/>
  <c r="E3" i="29"/>
  <c r="D3" i="29"/>
  <c r="C3" i="29"/>
  <c r="D1048571" i="27" l="1"/>
  <c r="B6" i="28"/>
  <c r="B5" i="28"/>
  <c r="B4" i="28"/>
  <c r="K107" i="10" l="1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F78" i="3" l="1"/>
  <c r="H93" i="10"/>
  <c r="G93" i="10"/>
  <c r="F93" i="10"/>
  <c r="H60" i="10"/>
  <c r="G60" i="10"/>
  <c r="D32" i="21" s="1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H33" i="10"/>
  <c r="E12" i="21" s="1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G33" i="10"/>
  <c r="D12" i="21" s="1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D11" i="21" s="1"/>
  <c r="G13" i="10"/>
  <c r="G12" i="10"/>
  <c r="G11" i="10"/>
  <c r="G10" i="10"/>
  <c r="D8" i="21" s="1"/>
  <c r="G9" i="10"/>
  <c r="G8" i="10"/>
  <c r="G7" i="10"/>
  <c r="G6" i="10"/>
  <c r="D16" i="21" s="1"/>
  <c r="G5" i="10"/>
  <c r="D5" i="21" s="1"/>
  <c r="G4" i="10"/>
  <c r="D4" i="21" s="1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C23" i="21" s="1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C21" i="21" l="1"/>
  <c r="C12" i="21"/>
  <c r="C15" i="21"/>
  <c r="D18" i="21"/>
  <c r="D13" i="21"/>
  <c r="E18" i="21"/>
  <c r="E6" i="21"/>
  <c r="E6" i="28" s="1"/>
  <c r="C4" i="29"/>
  <c r="C4" i="28"/>
  <c r="C5" i="29"/>
  <c r="C5" i="28"/>
  <c r="G14" i="21"/>
  <c r="H12" i="21"/>
  <c r="H8" i="21"/>
  <c r="E4" i="28"/>
  <c r="E4" i="29"/>
  <c r="C20" i="21"/>
  <c r="H5" i="21"/>
  <c r="E5" i="29"/>
  <c r="E5" i="28"/>
  <c r="G4" i="21"/>
  <c r="D4" i="28"/>
  <c r="D4" i="29"/>
  <c r="D5" i="29"/>
  <c r="D5" i="28"/>
  <c r="G8" i="21"/>
  <c r="H4" i="21"/>
  <c r="G5" i="21"/>
  <c r="G12" i="21"/>
  <c r="H14" i="21"/>
  <c r="C6" i="21"/>
  <c r="D10" i="21"/>
  <c r="D21" i="21"/>
  <c r="G21" i="21" s="1"/>
  <c r="E15" i="21"/>
  <c r="E20" i="21"/>
  <c r="E23" i="21"/>
  <c r="C13" i="21"/>
  <c r="D6" i="21"/>
  <c r="E16" i="21"/>
  <c r="H16" i="21" s="1"/>
  <c r="E11" i="21"/>
  <c r="H11" i="21" s="1"/>
  <c r="E13" i="21"/>
  <c r="D15" i="21"/>
  <c r="G15" i="21" s="1"/>
  <c r="D20" i="21"/>
  <c r="D23" i="21"/>
  <c r="G23" i="21" s="1"/>
  <c r="E10" i="21"/>
  <c r="E21" i="21"/>
  <c r="E32" i="21"/>
  <c r="C16" i="21"/>
  <c r="G16" i="21" s="1"/>
  <c r="C11" i="21"/>
  <c r="G11" i="21" s="1"/>
  <c r="C18" i="21"/>
  <c r="C10" i="21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E7" i="21" l="1"/>
  <c r="H18" i="21"/>
  <c r="G20" i="21"/>
  <c r="G18" i="21"/>
  <c r="H13" i="21"/>
  <c r="G13" i="21"/>
  <c r="E6" i="29"/>
  <c r="D1048569" i="27"/>
  <c r="G10" i="21"/>
  <c r="C7" i="21"/>
  <c r="C9" i="21" s="1"/>
  <c r="C26" i="21" s="1"/>
  <c r="C7" i="29" s="1"/>
  <c r="C6" i="29"/>
  <c r="C6" i="28"/>
  <c r="H21" i="21"/>
  <c r="H6" i="21"/>
  <c r="D6" i="29"/>
  <c r="D6" i="28"/>
  <c r="H23" i="21"/>
  <c r="H20" i="21"/>
  <c r="E9" i="21"/>
  <c r="D7" i="21"/>
  <c r="G6" i="21"/>
  <c r="H15" i="21"/>
  <c r="H10" i="21"/>
  <c r="F61" i="1"/>
  <c r="F60" i="10" s="1"/>
  <c r="C32" i="21" s="1"/>
  <c r="C17" i="21" l="1"/>
  <c r="C27" i="21" s="1"/>
  <c r="C1048569" i="27"/>
  <c r="E1048569" i="27"/>
  <c r="D9" i="21"/>
  <c r="G7" i="21"/>
  <c r="H7" i="21"/>
  <c r="E26" i="21"/>
  <c r="E7" i="29" s="1"/>
  <c r="E17" i="21"/>
  <c r="C17" i="7"/>
  <c r="C16" i="7"/>
  <c r="C15" i="7"/>
  <c r="C14" i="7"/>
  <c r="C12" i="7"/>
  <c r="C11" i="7"/>
  <c r="C9" i="7"/>
  <c r="C8" i="7"/>
  <c r="C7" i="7"/>
  <c r="C19" i="21" l="1"/>
  <c r="C22" i="21" s="1"/>
  <c r="C24" i="21" s="1"/>
  <c r="C33" i="21" s="1"/>
  <c r="E19" i="21"/>
  <c r="E27" i="21"/>
  <c r="G9" i="21"/>
  <c r="D26" i="21"/>
  <c r="D7" i="29" s="1"/>
  <c r="D17" i="21"/>
  <c r="H9" i="21"/>
  <c r="C28" i="21" l="1"/>
  <c r="B1048568" i="27"/>
  <c r="C1048568" i="27" s="1"/>
  <c r="D1048568" i="27" s="1"/>
  <c r="E1048568" i="27" s="1"/>
  <c r="F1048569" i="27" s="1"/>
  <c r="E22" i="21"/>
  <c r="E28" i="21"/>
  <c r="D19" i="21"/>
  <c r="G17" i="21"/>
  <c r="D27" i="21"/>
  <c r="H17" i="21"/>
  <c r="E24" i="21" l="1"/>
  <c r="D22" i="21"/>
  <c r="G19" i="21"/>
  <c r="D28" i="21"/>
  <c r="H19" i="21"/>
  <c r="E33" i="21" l="1"/>
  <c r="D24" i="21"/>
  <c r="G22" i="21"/>
  <c r="H22" i="21"/>
  <c r="D33" i="21" l="1"/>
  <c r="G24" i="21"/>
  <c r="H24" i="21"/>
</calcChain>
</file>

<file path=xl/sharedStrings.xml><?xml version="1.0" encoding="utf-8"?>
<sst xmlns="http://schemas.openxmlformats.org/spreadsheetml/2006/main" count="964" uniqueCount="255">
  <si>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</si>
  <si>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</si>
  <si>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</si>
  <si>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</si>
  <si>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</si>
  <si>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</si>
  <si>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</si>
  <si>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</si>
  <si>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</si>
  <si>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</si>
  <si>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</si>
  <si>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</si>
  <si>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</si>
  <si>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</si>
  <si>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</si>
  <si>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</si>
  <si>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</si>
  <si>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</si>
  <si>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</si>
  <si>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</si>
  <si>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</si>
  <si>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</si>
  <si>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</si>
  <si>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</si>
  <si>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</si>
  <si>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</si>
  <si>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</si>
  <si>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</si>
  <si>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</si>
  <si>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</si>
  <si>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</si>
  <si>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</si>
  <si>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</si>
  <si>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</si>
  <si>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</si>
  <si>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</si>
  <si>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</si>
  <si>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</si>
  <si>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</si>
  <si>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</si>
  <si>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</si>
  <si>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</si>
  <si>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</si>
  <si>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</si>
  <si>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</si>
  <si>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</si>
  <si>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</si>
  <si>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</si>
  <si>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</si>
  <si>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</si>
  <si>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</si>
  <si>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</si>
  <si>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</si>
  <si>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</si>
  <si>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</si>
  <si>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</si>
  <si>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</si>
  <si>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</si>
  <si>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</si>
  <si>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</si>
  <si>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</si>
  <si>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</si>
  <si>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</si>
  <si>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</si>
  <si>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</si>
  <si>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</si>
  <si>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</si>
  <si>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</si>
  <si>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</si>
  <si>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</si>
  <si>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</si>
  <si>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</si>
  <si>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</si>
  <si>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</si>
  <si>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</si>
  <si>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</si>
  <si>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</si>
  <si>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</si>
  <si>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</si>
  <si>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</si>
  <si>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</si>
  <si>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</si>
  <si>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</si>
  <si>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</si>
  <si>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</si>
  <si>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</si>
  <si>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</si>
  <si>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</si>
  <si>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</si>
  <si>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 Building a P&amp;L --&gt;</t>
  </si>
  <si>
    <t>3. Charts --&gt;</t>
  </si>
  <si>
    <t>Database</t>
  </si>
  <si>
    <t>P&amp;L statement</t>
  </si>
  <si>
    <t>Doughnut chart</t>
  </si>
  <si>
    <t>Bridge chart</t>
  </si>
  <si>
    <t>Case study: Create a P&amp;L from scratch</t>
  </si>
  <si>
    <t>Name of partner company</t>
  </si>
  <si>
    <t>Amounts</t>
  </si>
  <si>
    <t>Account number</t>
  </si>
  <si>
    <t>Code</t>
  </si>
  <si>
    <t>x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</si>
  <si>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</si>
  <si>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</si>
  <si>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</si>
  <si>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</si>
  <si>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</si>
  <si>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</si>
  <si>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</si>
  <si>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</si>
  <si>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</si>
  <si>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</si>
  <si>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</si>
  <si>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</si>
  <si>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2045000000111101</t>
  </si>
  <si>
    <t>2051210000111101</t>
  </si>
  <si>
    <t>2051260000111101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</si>
  <si>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</si>
  <si>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</si>
  <si>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</si>
  <si>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</si>
  <si>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</si>
  <si>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</si>
  <si>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</si>
  <si>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</si>
  <si>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</si>
  <si>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</si>
  <si>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</si>
  <si>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</si>
  <si>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</si>
  <si>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</si>
  <si>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</si>
  <si>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</si>
  <si>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</si>
  <si>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</si>
  <si>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</si>
  <si>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</si>
  <si>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</si>
  <si>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</si>
  <si>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</si>
  <si>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</si>
  <si>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</si>
  <si>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</si>
  <si>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</si>
  <si>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</si>
  <si>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</si>
  <si>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</si>
  <si>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</si>
  <si>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</si>
  <si>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</si>
  <si>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</si>
  <si>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</si>
  <si>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</si>
  <si>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</si>
  <si>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</si>
  <si>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</si>
  <si>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</si>
  <si>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</si>
  <si>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</si>
  <si>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</si>
  <si>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</si>
  <si>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</si>
  <si>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</si>
  <si>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</si>
  <si>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</si>
  <si>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</si>
  <si>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</si>
  <si>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</si>
  <si>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</si>
  <si>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</si>
  <si>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</si>
  <si>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</si>
  <si>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</si>
  <si>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</si>
  <si>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</si>
  <si>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</si>
  <si>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</si>
  <si>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</si>
  <si>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</si>
  <si>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</si>
  <si>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</si>
  <si>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</si>
  <si>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</si>
  <si>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</si>
  <si>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</si>
  <si>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</si>
  <si>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</si>
  <si>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</si>
  <si>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</si>
  <si>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</si>
  <si>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</si>
  <si>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</si>
  <si>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</si>
  <si>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</si>
  <si>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</si>
  <si>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</si>
  <si>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</si>
  <si>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</si>
  <si>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</si>
  <si>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</si>
  <si>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</si>
  <si>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</si>
  <si>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</si>
  <si>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</si>
  <si>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</si>
  <si>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P&amp;L account</t>
  </si>
  <si>
    <t>Name of Partner company</t>
  </si>
  <si>
    <t>Amount</t>
  </si>
  <si>
    <t>External</t>
  </si>
  <si>
    <t>Utility charges</t>
  </si>
  <si>
    <t>Impairment of participation</t>
  </si>
  <si>
    <t>Account Number</t>
  </si>
  <si>
    <t xml:space="preserve">Utility charges </t>
  </si>
  <si>
    <t>204200000088</t>
  </si>
  <si>
    <t>Net Sales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</si>
  <si>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</si>
  <si>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</si>
  <si>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</si>
  <si>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</si>
  <si>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</si>
  <si>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</si>
  <si>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</si>
  <si>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</si>
  <si>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sales</t>
  </si>
  <si>
    <t>Mapping</t>
  </si>
  <si>
    <t>Direct costs</t>
  </si>
  <si>
    <t>Total Revenues</t>
  </si>
  <si>
    <t>Gross Margin</t>
  </si>
  <si>
    <t>Other operating expenses</t>
  </si>
  <si>
    <t>EBITDA</t>
  </si>
  <si>
    <t>EBIT</t>
  </si>
  <si>
    <t>EBT</t>
  </si>
  <si>
    <t>Net Income</t>
  </si>
  <si>
    <t>EUR in millions</t>
  </si>
  <si>
    <t>Net income</t>
  </si>
  <si>
    <t>IF(ISERROR((D4/C4)-1),"n.a.",IF(((D4/C4)-1)&gt;1,"&gt;100.0%",IF(((D4/C4)-1)&lt;-1,"&lt;-100.0%",((D4/C4)-1))))</t>
  </si>
  <si>
    <t>Formula for calculating y-o-y % variations:</t>
  </si>
  <si>
    <t>Gross Margin %</t>
  </si>
  <si>
    <t>EBITDA %</t>
  </si>
  <si>
    <t>EBIT %</t>
  </si>
  <si>
    <t>Column stacked chart</t>
  </si>
  <si>
    <t xml:space="preserve"> </t>
  </si>
  <si>
    <t>Area &amp; Line chart</t>
  </si>
  <si>
    <t>Revenues</t>
  </si>
  <si>
    <t>Change in Revenues</t>
  </si>
  <si>
    <t>EBITDA FY13</t>
  </si>
  <si>
    <t>EBITDA 
FY12</t>
  </si>
  <si>
    <t>Change in
Opex</t>
  </si>
  <si>
    <t>FY16</t>
  </si>
  <si>
    <t>FY17</t>
  </si>
  <si>
    <t>FY18</t>
  </si>
  <si>
    <t>Var%
FY16-FY17</t>
  </si>
  <si>
    <t>Var%
FY17-FY18</t>
  </si>
  <si>
    <t>FY2018</t>
  </si>
  <si>
    <t>FY2017</t>
  </si>
  <si>
    <t>FY2016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</si>
</sst>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_);_(* \(#,##0\);_(* &quot;-&quot;??_);_(@_)"/>
    <numFmt numFmtId="166" formatCode="_(* #,##0.0_);_(* \(#,##0.0\);_(* &quot;-&quot;??_);_(@_)"/>
    <numFmt numFmtId="167" formatCode="0.0%"/>
    <numFmt numFmtId="168" formatCode="0.0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theme="3" tint="0.39997558519241921"/>
      <name val="Arial"/>
      <family val="2"/>
    </font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1" applyFill="0" applyProtection="0">
      <alignment horizontal="right" wrapText="1"/>
    </xf>
    <xf numFmtId="0" fontId="12" fillId="0" borderId="0" applyNumberFormat="0" applyFill="0" applyBorder="0" applyAlignment="0" applyProtection="0"/>
    <xf numFmtId="164" fontId="14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58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1" fillId="2" borderId="0" xfId="0" applyFont="1" applyFill="1" applyAlignment="1">
      <alignment horizontal="left"/>
    </xf>
    <xf numFmtId="0" fontId="3" fillId="2" borderId="0" xfId="0" applyFont="1" applyFill="1"/>
    <xf numFmtId="0" fontId="5" fillId="2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7" fillId="3" borderId="0" xfId="0" applyFont="1" applyFill="1"/>
    <xf numFmtId="0" fontId="8" fillId="3" borderId="0" xfId="0" applyFont="1" applyFill="1" applyAlignment="1">
      <alignment horizontal="left"/>
    </xf>
    <xf numFmtId="0" fontId="9" fillId="3" borderId="0" xfId="0" applyFont="1" applyFill="1"/>
    <xf numFmtId="0" fontId="10" fillId="2" borderId="1" xfId="1" applyFont="1" applyFill="1" applyAlignment="1">
      <alignment horizontal="left" wrapText="1"/>
    </xf>
    <xf numFmtId="0" fontId="11" fillId="2" borderId="0" xfId="0" applyFont="1" applyFill="1"/>
    <xf numFmtId="0" fontId="13" fillId="2" borderId="0" xfId="2" applyFont="1" applyFill="1"/>
    <xf numFmtId="0" fontId="3" fillId="2" borderId="2" xfId="0" applyFont="1" applyFill="1" applyBorder="1"/>
    <xf numFmtId="0" fontId="3" fillId="2" borderId="2" xfId="0" applyFont="1" applyFill="1" applyBorder="1" applyAlignment="1">
      <alignment horizontal="right"/>
    </xf>
    <xf numFmtId="165" fontId="1" fillId="2" borderId="0" xfId="0" applyNumberFormat="1" applyFont="1" applyFill="1"/>
    <xf numFmtId="165" fontId="1" fillId="2" borderId="0" xfId="3" applyNumberFormat="1" applyFont="1" applyFill="1"/>
    <xf numFmtId="0" fontId="1" fillId="4" borderId="0" xfId="0" applyFont="1" applyFill="1"/>
    <xf numFmtId="0" fontId="1" fillId="4" borderId="0" xfId="0" applyFont="1" applyFill="1" applyAlignment="1">
      <alignment horizontal="left"/>
    </xf>
    <xf numFmtId="165" fontId="1" fillId="2" borderId="0" xfId="3" applyNumberFormat="1" applyFont="1" applyFill="1" applyAlignment="1">
      <alignment horizontal="left"/>
    </xf>
    <xf numFmtId="165" fontId="1" fillId="4" borderId="0" xfId="3" applyNumberFormat="1" applyFont="1" applyFill="1" applyAlignment="1">
      <alignment horizontal="left"/>
    </xf>
    <xf numFmtId="0" fontId="1" fillId="2" borderId="0" xfId="0" applyFont="1" applyFill="1" applyAlignment="1">
      <alignment horizontal="right"/>
    </xf>
    <xf numFmtId="165" fontId="1" fillId="2" borderId="0" xfId="3" applyNumberFormat="1" applyFont="1" applyFill="1" applyAlignment="1"/>
    <xf numFmtId="0" fontId="3" fillId="2" borderId="2" xfId="0" applyFont="1" applyFill="1" applyBorder="1" applyAlignment="1">
      <alignment horizontal="left"/>
    </xf>
    <xf numFmtId="165" fontId="1" fillId="2" borderId="0" xfId="0" applyNumberFormat="1" applyFont="1" applyFill="1" applyAlignment="1">
      <alignment horizontal="left"/>
    </xf>
    <xf numFmtId="165" fontId="3" fillId="2" borderId="2" xfId="0" applyNumberFormat="1" applyFont="1" applyFill="1" applyBorder="1"/>
    <xf numFmtId="165" fontId="15" fillId="2" borderId="3" xfId="0" applyNumberFormat="1" applyFont="1" applyFill="1" applyBorder="1"/>
    <xf numFmtId="165" fontId="9" fillId="3" borderId="3" xfId="0" applyNumberFormat="1" applyFont="1" applyFill="1" applyBorder="1"/>
    <xf numFmtId="165" fontId="15" fillId="2" borderId="4" xfId="0" applyNumberFormat="1" applyFont="1" applyFill="1" applyBorder="1"/>
    <xf numFmtId="165" fontId="3" fillId="2" borderId="2" xfId="0" applyNumberFormat="1" applyFont="1" applyFill="1" applyBorder="1" applyAlignment="1">
      <alignment horizontal="right"/>
    </xf>
    <xf numFmtId="165" fontId="1" fillId="2" borderId="0" xfId="0" applyNumberFormat="1" applyFont="1" applyFill="1" applyAlignment="1">
      <alignment horizontal="right"/>
    </xf>
    <xf numFmtId="166" fontId="1" fillId="2" borderId="0" xfId="0" applyNumberFormat="1" applyFont="1" applyFill="1" applyAlignment="1">
      <alignment horizontal="right"/>
    </xf>
    <xf numFmtId="166" fontId="15" fillId="2" borderId="3" xfId="0" applyNumberFormat="1" applyFont="1" applyFill="1" applyBorder="1" applyAlignment="1">
      <alignment horizontal="right"/>
    </xf>
    <xf numFmtId="166" fontId="9" fillId="3" borderId="3" xfId="0" applyNumberFormat="1" applyFont="1" applyFill="1" applyBorder="1" applyAlignment="1">
      <alignment horizontal="right"/>
    </xf>
    <xf numFmtId="166" fontId="15" fillId="2" borderId="4" xfId="0" applyNumberFormat="1" applyFont="1" applyFill="1" applyBorder="1" applyAlignment="1">
      <alignment horizontal="right"/>
    </xf>
    <xf numFmtId="166" fontId="1" fillId="4" borderId="0" xfId="0" applyNumberFormat="1" applyFont="1" applyFill="1" applyAlignment="1">
      <alignment horizontal="right"/>
    </xf>
    <xf numFmtId="164" fontId="1" fillId="4" borderId="0" xfId="0" applyNumberFormat="1" applyFont="1" applyFill="1"/>
    <xf numFmtId="165" fontId="1" fillId="4" borderId="0" xfId="0" applyNumberFormat="1" applyFont="1" applyFill="1" applyAlignment="1">
      <alignment horizontal="right"/>
    </xf>
    <xf numFmtId="165" fontId="15" fillId="2" borderId="0" xfId="0" applyNumberFormat="1" applyFont="1" applyFill="1"/>
    <xf numFmtId="165" fontId="3" fillId="2" borderId="2" xfId="0" applyNumberFormat="1" applyFont="1" applyFill="1" applyBorder="1" applyAlignment="1">
      <alignment horizontal="right" wrapText="1"/>
    </xf>
    <xf numFmtId="167" fontId="5" fillId="2" borderId="0" xfId="4" applyNumberFormat="1" applyFont="1" applyFill="1" applyAlignment="1">
      <alignment horizontal="right"/>
    </xf>
    <xf numFmtId="167" fontId="16" fillId="2" borderId="3" xfId="4" applyNumberFormat="1" applyFont="1" applyFill="1" applyBorder="1" applyAlignment="1">
      <alignment horizontal="right"/>
    </xf>
    <xf numFmtId="167" fontId="8" fillId="3" borderId="3" xfId="4" applyNumberFormat="1" applyFont="1" applyFill="1" applyBorder="1" applyAlignment="1">
      <alignment horizontal="right"/>
    </xf>
    <xf numFmtId="167" fontId="16" fillId="2" borderId="4" xfId="4" applyNumberFormat="1" applyFont="1" applyFill="1" applyBorder="1" applyAlignment="1">
      <alignment horizontal="right"/>
    </xf>
    <xf numFmtId="0" fontId="5" fillId="5" borderId="0" xfId="0" applyFont="1" applyFill="1"/>
    <xf numFmtId="167" fontId="5" fillId="5" borderId="0" xfId="4" applyNumberFormat="1" applyFont="1" applyFill="1"/>
    <xf numFmtId="2" fontId="1" fillId="2" borderId="0" xfId="0" applyNumberFormat="1" applyFont="1" applyFill="1"/>
    <xf numFmtId="168" fontId="1" fillId="2" borderId="0" xfId="0" applyNumberFormat="1" applyFont="1" applyFill="1"/>
    <xf numFmtId="167" fontId="1" fillId="2" borderId="0" xfId="4" applyNumberFormat="1" applyFont="1" applyFill="1"/>
    <xf numFmtId="167" fontId="1" fillId="2" borderId="0" xfId="4" applyNumberFormat="1" applyFont="1" applyFill="1" applyAlignment="1">
      <alignment horizontal="right"/>
    </xf>
    <xf numFmtId="0" fontId="17" fillId="2" borderId="0" xfId="0" applyFont="1" applyFill="1"/>
    <xf numFmtId="168" fontId="17" fillId="2" borderId="0" xfId="0" applyNumberFormat="1" applyFont="1" applyFill="1"/>
    <xf numFmtId="168" fontId="17" fillId="2" borderId="0" xfId="0" applyNumberFormat="1" applyFont="1" applyFill="1" applyAlignment="1">
      <alignment horizontal="left"/>
    </xf>
    <xf numFmtId="0" fontId="17" fillId="2" borderId="0" xfId="0" applyFont="1" applyFill="1" applyAlignment="1">
      <alignment horizontal="left"/>
    </xf>
    <xf numFmtId="0" fontId="17" fillId="2" borderId="0" xfId="0" applyFont="1" applyFill="1" applyAlignment="1">
      <alignment vertical="top" wrapText="1"/>
    </xf>
    <xf numFmtId="168" fontId="17" fillId="2" borderId="0" xfId="0" applyNumberFormat="1" applyFont="1" applyFill="1" applyAlignment="1">
      <alignment vertical="top" wrapText="1"/>
    </xf>
    <xf numFmtId="166" fontId="1" fillId="2" borderId="0" xfId="0" applyNumberFormat="1" applyFont="1" applyFill="1"/>
  </cellXfs>
  <cellStyles count="5">
    <cellStyle name="Comma" xfId="3" builtinId="3"/>
    <cellStyle name="Hyperlink" xfId="2" builtinId="8"/>
    <cellStyle name="Normal" xfId="0" builtinId="0"/>
    <cellStyle name="Percent" xfId="4" builtinId="5"/>
    <cellStyle name="Smart Subtitle 1" xfId="1" xr:uid="{00000000-0005-0000-0000-000004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'3.1 Column stacked chart'!$B$4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chart'!$C$4:$E$4</c:f>
              <c:numCache>
                <c:formatCode>0.0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2-45B8-A5FA-DA37DA9D3E57}"/>
            </c:ext>
          </c:extLst>
        </c:ser>
        <c:ser>
          <c:idx val="1"/>
          <c:order val="1"/>
          <c:tx>
            <c:strRef>
              <c:f>'3.1 Column stacked chart'!$B$5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chart'!$C$5:$E$5</c:f>
              <c:numCache>
                <c:formatCode>0.0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2-45B8-A5FA-DA37DA9D3E57}"/>
            </c:ext>
          </c:extLst>
        </c:ser>
        <c:ser>
          <c:idx val="2"/>
          <c:order val="2"/>
          <c:tx>
            <c:strRef>
              <c:f>'3.1 Column stacked chart'!$B$6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chart'!$C$6:$E$6</c:f>
              <c:numCache>
                <c:formatCode>0.0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62-45B8-A5FA-DA37DA9D3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0956288"/>
        <c:axId val="40957824"/>
      </c:barChart>
      <c:lineChart>
        <c:grouping val="standard"/>
        <c:varyColors val="0"/>
        <c:ser>
          <c:idx val="3"/>
          <c:order val="3"/>
          <c:tx>
            <c:strRef>
              <c:f>'3.1 Column stacked chart'!$B$7</c:f>
              <c:strCache>
                <c:ptCount val="1"/>
                <c:pt idx="0">
                  <c:v>Gross Margin %</c:v>
                </c:pt>
              </c:strCache>
            </c:strRef>
          </c:tx>
          <c:marker>
            <c:symbol val="none"/>
          </c:marker>
          <c:val>
            <c:numRef>
              <c:f>'3.1 Column stacked chart'!$C$7:$E$7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E62-45B8-A5FA-DA37DA9D3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69984"/>
        <c:axId val="40959360"/>
      </c:lineChart>
      <c:catAx>
        <c:axId val="4095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0957824"/>
        <c:crosses val="autoZero"/>
        <c:auto val="1"/>
        <c:lblAlgn val="ctr"/>
        <c:lblOffset val="100"/>
        <c:noMultiLvlLbl val="0"/>
      </c:catAx>
      <c:valAx>
        <c:axId val="4095782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33000"/>
                </a:schemeClr>
              </a:solidFill>
            </a:ln>
          </c:spPr>
        </c:majorGridlines>
        <c:numFmt formatCode="#,##0.0" sourceLinked="0"/>
        <c:majorTickMark val="out"/>
        <c:minorTickMark val="none"/>
        <c:tickLblPos val="nextTo"/>
        <c:spPr>
          <a:ln>
            <a:noFill/>
          </a:ln>
        </c:spPr>
        <c:crossAx val="40956288"/>
        <c:crosses val="autoZero"/>
        <c:crossBetween val="between"/>
        <c:majorUnit val="10"/>
      </c:valAx>
      <c:valAx>
        <c:axId val="40959360"/>
        <c:scaling>
          <c:orientation val="minMax"/>
          <c:max val="0.82000000000000006"/>
          <c:min val="0.76000000000000012"/>
        </c:scaling>
        <c:delete val="0"/>
        <c:axPos val="r"/>
        <c:numFmt formatCode="0.0%" sourceLinked="1"/>
        <c:majorTickMark val="out"/>
        <c:minorTickMark val="none"/>
        <c:tickLblPos val="nextTo"/>
        <c:spPr>
          <a:ln>
            <a:noFill/>
          </a:ln>
        </c:spPr>
        <c:crossAx val="85369984"/>
        <c:crosses val="max"/>
        <c:crossBetween val="between"/>
        <c:majorUnit val="2.0000000000000004E-2"/>
      </c:valAx>
      <c:catAx>
        <c:axId val="85369984"/>
        <c:scaling>
          <c:orientation val="minMax"/>
        </c:scaling>
        <c:delete val="1"/>
        <c:axPos val="b"/>
        <c:majorTickMark val="out"/>
        <c:minorTickMark val="none"/>
        <c:tickLblPos val="nextTo"/>
        <c:crossAx val="40959360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'3.1 Column stacked chart'!$B$4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chart'!$C$4:$E$4</c:f>
              <c:numCache>
                <c:formatCode>0.0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86-4BCD-B4F9-A02907E2EE2C}"/>
            </c:ext>
          </c:extLst>
        </c:ser>
        <c:ser>
          <c:idx val="1"/>
          <c:order val="1"/>
          <c:tx>
            <c:strRef>
              <c:f>'3.1 Column stacked chart'!$B$5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chart'!$C$5:$E$5</c:f>
              <c:numCache>
                <c:formatCode>0.0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86-4BCD-B4F9-A02907E2EE2C}"/>
            </c:ext>
          </c:extLst>
        </c:ser>
        <c:ser>
          <c:idx val="2"/>
          <c:order val="2"/>
          <c:tx>
            <c:strRef>
              <c:f>'3.1 Column stacked chart'!$B$6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chart'!$C$6:$E$6</c:f>
              <c:numCache>
                <c:formatCode>0.0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86-4BCD-B4F9-A02907E2E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610986816"/>
        <c:axId val="610983864"/>
      </c:barChart>
      <c:lineChart>
        <c:grouping val="standard"/>
        <c:varyColors val="0"/>
        <c:ser>
          <c:idx val="3"/>
          <c:order val="3"/>
          <c:tx>
            <c:strRef>
              <c:f>'3.1 Column stacked chart'!$B$7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chart'!$C$7:$E$7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C86-4BCD-B4F9-A02907E2E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007480"/>
        <c:axId val="611003872"/>
      </c:lineChart>
      <c:catAx>
        <c:axId val="610986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10983864"/>
        <c:crosses val="autoZero"/>
        <c:auto val="1"/>
        <c:lblAlgn val="ctr"/>
        <c:lblOffset val="100"/>
        <c:noMultiLvlLbl val="0"/>
      </c:catAx>
      <c:valAx>
        <c:axId val="6109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10986816"/>
        <c:crosses val="autoZero"/>
        <c:crossBetween val="between"/>
      </c:valAx>
      <c:valAx>
        <c:axId val="61100387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11007480"/>
        <c:crosses val="max"/>
        <c:crossBetween val="between"/>
      </c:valAx>
      <c:catAx>
        <c:axId val="611007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10038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>
                <a:solidFill>
                  <a:srgbClr val="002060"/>
                </a:solidFill>
              </a:defRPr>
            </a:pPr>
            <a:r>
              <a:rPr lang="en-US" sz="900">
                <a:solidFill>
                  <a:srgbClr val="002060"/>
                </a:solidFill>
              </a:rPr>
              <a:t>Breakdown of Revenues</a:t>
            </a:r>
            <a:r>
              <a:rPr lang="en-US" sz="900" baseline="0">
                <a:solidFill>
                  <a:srgbClr val="002060"/>
                </a:solidFill>
              </a:rPr>
              <a:t> in FY18</a:t>
            </a:r>
            <a:endParaRPr lang="en-US" sz="900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5.7040998217468802E-2"/>
          <c:y val="4.5528431968026646E-2"/>
        </c:manualLayout>
      </c:layout>
      <c:overlay val="0"/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25D8-4731-A85F-CAC7E3B9698A}"/>
              </c:ext>
            </c:extLst>
          </c:dPt>
          <c:dPt>
            <c:idx val="1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5D8-4731-A85F-CAC7E3B9698A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5D8-4731-A85F-CAC7E3B9698A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Net Sales</c:v>
              </c:pt>
              <c:pt idx="1">
                <c:v>Other revenues</c:v>
              </c:pt>
              <c:pt idx="2">
                <c:v>Recharges</c:v>
              </c:pt>
            </c:strLit>
          </c:cat>
          <c:val>
            <c:numLit>
              <c:formatCode>General</c:formatCode>
              <c:ptCount val="3"/>
              <c:pt idx="0">
                <c:v>15.047803019</c:v>
              </c:pt>
              <c:pt idx="1">
                <c:v>6.3736175140000002</c:v>
              </c:pt>
              <c:pt idx="2">
                <c:v>4.8931777299999997</c:v>
              </c:pt>
            </c:numLit>
          </c:val>
          <c:extLst>
            <c:ext xmlns:c16="http://schemas.microsoft.com/office/drawing/2014/chart" uri="{C3380CC4-5D6E-409C-BE32-E72D297353CC}">
              <c16:uniqueId val="{00000006-25D8-4731-A85F-CAC7E3B96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900" b="1">
                <a:solidFill>
                  <a:srgbClr val="00206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Breakdown of</a:t>
            </a:r>
            <a:r>
              <a:rPr lang="en-IN" sz="900" b="1" baseline="0">
                <a:solidFill>
                  <a:srgbClr val="00206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Revenues in FY18</a:t>
            </a:r>
            <a:endParaRPr lang="en-IN" sz="900" b="1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4.3441775480896345E-2"/>
          <c:y val="4.07523678623190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spPr>
            <a:solidFill>
              <a:srgbClr val="002060"/>
            </a:solidFill>
          </c:spPr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896-41B2-B2CF-FCA17C4F184D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2896-41B2-B2CF-FCA17C4F184D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2896-41B2-B2CF-FCA17C4F184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'3.2 Dougnut chart'!$B$4:$B$6</c:f>
              <c:strCache>
                <c:ptCount val="3"/>
                <c:pt idx="0">
                  <c:v>Net Sales</c:v>
                </c:pt>
                <c:pt idx="1">
                  <c:v>Other revenues</c:v>
                </c:pt>
                <c:pt idx="2">
                  <c:v>Recharges</c:v>
                </c:pt>
              </c:strCache>
            </c:strRef>
          </c:cat>
          <c:val>
            <c:numRef>
              <c:f>'3.2 Dougnut chart'!$E$4:$E$6</c:f>
              <c:numCache>
                <c:formatCode>0.0</c:formatCode>
                <c:ptCount val="3"/>
                <c:pt idx="0">
                  <c:v>15.047803019</c:v>
                </c:pt>
                <c:pt idx="1">
                  <c:v>6.3736175140000002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96-41B2-B2CF-FCA17C4F1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110343</xdr:colOff>
      <xdr:row>12</xdr:row>
      <xdr:rowOff>29600</xdr:rowOff>
    </xdr:from>
    <xdr:to>
      <xdr:col>15</xdr:col>
      <xdr:colOff>260838</xdr:colOff>
      <xdr:row>24</xdr:row>
      <xdr:rowOff>41981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110343</xdr:colOff>
      <xdr:row>10</xdr:row>
      <xdr:rowOff>58907</xdr:rowOff>
    </xdr:from>
    <xdr:to>
      <xdr:col>11</xdr:col>
      <xdr:colOff>68433</xdr:colOff>
      <xdr:row>11</xdr:row>
      <xdr:rowOff>97008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5573297" y="1635661"/>
          <a:ext cx="1177290" cy="190501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latin typeface="Arial" pitchFamily="34" charset="0"/>
              <a:cs typeface="Arial" pitchFamily="34" charset="0"/>
            </a:rPr>
            <a:t>Ready chart:</a:t>
          </a:r>
        </a:p>
      </xdr:txBody>
    </xdr:sp>
    <xdr:clientData/>
  </xdr:twoCellAnchor>
  <xdr:twoCellAnchor>
    <xdr:from>
      <xdr:col>2</xdr:col>
      <xdr:colOff>146393</xdr:colOff>
      <xdr:row>12</xdr:row>
      <xdr:rowOff>34991</xdr:rowOff>
    </xdr:from>
    <xdr:to>
      <xdr:col>8</xdr:col>
      <xdr:colOff>297593</xdr:colOff>
      <xdr:row>24</xdr:row>
      <xdr:rowOff>41981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E992153-36AB-4437-B06D-8C1BB19FC9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577361</xdr:colOff>
      <xdr:row>12</xdr:row>
      <xdr:rowOff>50116</xdr:rowOff>
    </xdr:from>
    <xdr:to>
      <xdr:col>13</xdr:col>
      <xdr:colOff>489731</xdr:colOff>
      <xdr:row>26</xdr:row>
      <xdr:rowOff>8206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F919AB-85D3-48B0-936D-9CD55B10EC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196361</xdr:colOff>
      <xdr:row>10</xdr:row>
      <xdr:rowOff>147271</xdr:rowOff>
    </xdr:from>
    <xdr:to>
      <xdr:col>10</xdr:col>
      <xdr:colOff>154451</xdr:colOff>
      <xdr:row>12</xdr:row>
      <xdr:rowOff>32972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C0BB025-0595-471D-9BEA-66BFE0A7FD81}"/>
            </a:ext>
          </a:extLst>
        </xdr:cNvPr>
        <xdr:cNvSpPr/>
      </xdr:nvSpPr>
      <xdr:spPr>
        <a:xfrm>
          <a:off x="5237284" y="1724025"/>
          <a:ext cx="1177290" cy="190501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latin typeface="Arial" pitchFamily="34" charset="0"/>
              <a:cs typeface="Arial" pitchFamily="34" charset="0"/>
            </a:rPr>
            <a:t>Ready chart:</a:t>
          </a:r>
        </a:p>
      </xdr:txBody>
    </xdr:sp>
    <xdr:clientData/>
  </xdr:twoCellAnchor>
  <xdr:twoCellAnchor>
    <xdr:from>
      <xdr:col>1</xdr:col>
      <xdr:colOff>1272440</xdr:colOff>
      <xdr:row>7</xdr:row>
      <xdr:rowOff>24424</xdr:rowOff>
    </xdr:from>
    <xdr:to>
      <xdr:col>6</xdr:col>
      <xdr:colOff>561730</xdr:colOff>
      <xdr:row>19</xdr:row>
      <xdr:rowOff>135792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01D6365-43D0-18B5-A94F-819EA198C9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0.25758</cdr:x>
      <cdr:y>0.48402</cdr:y>
    </cdr:from>
    <cdr:to>
      <cdr:x>0.48128</cdr:x>
      <cdr:y>0.59361</cdr:y>
    </cdr:to>
    <cdr:sp macro="" textlink="">
      <cdr:nvSpPr>
        <cdr:cNvPr id="3" name="TextBox 5"/>
        <cdr:cNvSpPr txBox="1"/>
      </cdr:nvSpPr>
      <cdr:spPr>
        <a:xfrm xmlns:a="http://schemas.openxmlformats.org/drawingml/2006/main">
          <a:off x="917575" y="1009652"/>
          <a:ext cx="796925" cy="2286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€26.3m</a:t>
          </a:r>
          <a:endParaRPr lang="en-US" sz="900">
            <a:effectLst/>
            <a:latin typeface="Arial" pitchFamily="34" charset="0"/>
            <a:cs typeface="Arial" pitchFamily="34" charset="0"/>
          </a:endParaRPr>
        </a:p>
        <a:p xmlns:a="http://schemas.openxmlformats.org/drawingml/2006/main">
          <a:endParaRPr lang="en-US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0.24501</cdr:x>
      <cdr:y>0.51724</cdr:y>
    </cdr:from>
    <cdr:to>
      <cdr:x>0.43233</cdr:x>
      <cdr:y>0.61912</cdr:y>
    </cdr:to>
    <cdr:sp macro="" textlink="">
      <cdr:nvSpPr>
        <cdr:cNvPr id="2" name="TextBox 4">
          <a:extLst xmlns:a="http://schemas.openxmlformats.org/drawingml/2006/main">
            <a:ext uri="{FF2B5EF4-FFF2-40B4-BE49-F238E27FC236}">
              <a16:creationId xmlns:a16="http://schemas.microsoft.com/office/drawing/2014/main" id="{73E8FAE4-4E05-4B9E-C581-A30A94D903D9}"/>
            </a:ext>
          </a:extLst>
        </cdr:cNvPr>
        <cdr:cNvSpPr txBox="1"/>
      </cdr:nvSpPr>
      <cdr:spPr>
        <a:xfrm xmlns:a="http://schemas.openxmlformats.org/drawingml/2006/main">
          <a:off x="773725" y="967153"/>
          <a:ext cx="591528" cy="190499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IN" sz="9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$26.3m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F15" sqref="F15"/>
    </sheetView>
  </sheetViews>
  <sheetFormatPr defaultColWidth="9.1796875" defaultRowHeight="14.5" x14ac:dyDescent="0.35"/>
  <cols>
    <col min="1" max="1" width="2" style="1" customWidth="1"/>
    <col min="2" max="16384" width="9.1796875" style="1"/>
  </cols>
  <sheetData>
    <row r="12" spans="2:2" ht="40" x14ac:dyDescent="0.8">
      <c r="B12" s="12" t="s">
        <v>29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B1" sqref="B1"/>
    </sheetView>
  </sheetViews>
  <sheetFormatPr defaultColWidth="9.1796875" defaultRowHeight="11.5" x14ac:dyDescent="0.25"/>
  <cols>
    <col min="1" max="1" width="2" style="2" customWidth="1"/>
    <col min="2" max="2" width="10" style="2" customWidth="1"/>
    <col min="3" max="3" width="26" style="2" customWidth="1"/>
    <col min="4" max="4" width="19.453125" style="2" customWidth="1"/>
    <col min="5" max="16384" width="9.1796875" style="2"/>
  </cols>
  <sheetData>
    <row r="1" spans="2:4" ht="15.5" x14ac:dyDescent="0.35">
      <c r="B1" s="3" t="s">
        <v>95</v>
      </c>
    </row>
    <row r="2" spans="2:4" x14ac:dyDescent="0.25">
      <c r="B2" s="5" t="s">
        <v>55</v>
      </c>
    </row>
    <row r="4" spans="2:4" ht="12" thickBot="1" x14ac:dyDescent="0.3">
      <c r="B4" s="11" t="s">
        <v>56</v>
      </c>
      <c r="C4" s="11" t="s">
        <v>57</v>
      </c>
      <c r="D4" s="11" t="s">
        <v>58</v>
      </c>
    </row>
    <row r="5" spans="2:4" x14ac:dyDescent="0.25">
      <c r="B5" s="6">
        <v>1</v>
      </c>
      <c r="C5" s="2" t="s">
        <v>59</v>
      </c>
    </row>
    <row r="6" spans="2:4" x14ac:dyDescent="0.25">
      <c r="B6" s="9">
        <v>2</v>
      </c>
      <c r="C6" s="10" t="s">
        <v>60</v>
      </c>
      <c r="D6" s="10"/>
    </row>
    <row r="7" spans="2:4" x14ac:dyDescent="0.25">
      <c r="B7" s="6">
        <v>3</v>
      </c>
      <c r="C7" s="13" t="str">
        <f>+"1.1 "&amp;'1.1 FY2016'!C1</f>
        <v>1.1 FY2016</v>
      </c>
    </row>
    <row r="8" spans="2:4" x14ac:dyDescent="0.25">
      <c r="B8" s="6">
        <v>4</v>
      </c>
      <c r="C8" s="13" t="str">
        <f>"1.2 "&amp;'1.2 FY2017'!B1</f>
        <v>1.2 FY2017</v>
      </c>
    </row>
    <row r="9" spans="2:4" x14ac:dyDescent="0.25">
      <c r="B9" s="6">
        <v>5</v>
      </c>
      <c r="C9" s="13" t="str">
        <f>"1.3 "&amp;'1.3 FY2018'!B1</f>
        <v>1.3 FY2018</v>
      </c>
    </row>
    <row r="10" spans="2:4" x14ac:dyDescent="0.25">
      <c r="B10" s="9">
        <v>6</v>
      </c>
      <c r="C10" s="10" t="s">
        <v>89</v>
      </c>
      <c r="D10" s="10"/>
    </row>
    <row r="11" spans="2:4" x14ac:dyDescent="0.25">
      <c r="B11" s="6">
        <v>7</v>
      </c>
      <c r="C11" s="13" t="str">
        <f>+"2.1 "&amp;'2.1 Database'!B1</f>
        <v>2.1 Database</v>
      </c>
    </row>
    <row r="12" spans="2:4" x14ac:dyDescent="0.25">
      <c r="B12" s="6">
        <v>8</v>
      </c>
      <c r="C12" s="13" t="str">
        <f>+"2.2 "&amp;'2.2 P&amp;L statement'!B1</f>
        <v>2.2 P&amp;L statement</v>
      </c>
    </row>
    <row r="13" spans="2:4" x14ac:dyDescent="0.25">
      <c r="B13" s="7">
        <v>19</v>
      </c>
      <c r="C13" s="10" t="s">
        <v>90</v>
      </c>
      <c r="D13" s="8"/>
    </row>
    <row r="14" spans="2:4" x14ac:dyDescent="0.25">
      <c r="B14" s="6">
        <v>20</v>
      </c>
      <c r="C14" s="13" t="str">
        <f>+"3.1 "&amp;'3.1 Column stacked chart'!B1</f>
        <v>3.1 Column stacked chart</v>
      </c>
    </row>
    <row r="15" spans="2:4" x14ac:dyDescent="0.25">
      <c r="B15" s="6">
        <v>21</v>
      </c>
      <c r="C15" s="13" t="str">
        <f>+"3.2 "&amp;'3.2 Dougnut chart'!B1</f>
        <v>3.2 Doughnut chart</v>
      </c>
    </row>
    <row r="16" spans="2:4" x14ac:dyDescent="0.25">
      <c r="B16" s="6">
        <v>22</v>
      </c>
      <c r="C16" s="13" t="str">
        <f>"3.3 "&amp;'3.3 Area &amp; line chart'!B1</f>
        <v>3.3 Area &amp; Line chart</v>
      </c>
    </row>
    <row r="17" spans="2:3" x14ac:dyDescent="0.25">
      <c r="B17" s="6">
        <v>23</v>
      </c>
      <c r="C17" s="13" t="str">
        <f>+"3.4 "&amp;'3.4 Bridge Chart'!B1</f>
        <v>3.4 Bridge chart</v>
      </c>
    </row>
  </sheetData>
  <hyperlinks>
    <hyperlink ref="C7" location="'1.1 FY2011'!A1" display="1.1 FY2011" xr:uid="{00000000-0004-0000-0100-000000000000}"/>
    <hyperlink ref="C8" location="'1.2 FY2012'!A1" display="1.2 FY2012" xr:uid="{00000000-0004-0000-0100-000001000000}"/>
    <hyperlink ref="C9" location="'1.3 FY2013'!A1" display="1.3 FY2013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3.1 Stacked column'!A1" display="'3.1 Stacked column'!A1" xr:uid="{00000000-0004-0000-0100-000005000000}"/>
    <hyperlink ref="C15" location="'3.2 Dougnut chart'!A1" display="'3.2 Dougnut chart'!A1" xr:uid="{00000000-0004-0000-0100-000006000000}"/>
    <hyperlink ref="C16" location="'3.3 Area chart'!A1" display="'3.3 Area chart'!A1" xr:uid="{00000000-0004-0000-0100-000007000000}"/>
    <hyperlink ref="C17" location="'3.4 Bridge Chart'!A1" display="'3.4 Bridge Chart'!A1" xr:uid="{00000000-0004-0000-0100-000008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H20" sqref="A1:XFD1048576"/>
    </sheetView>
  </sheetViews>
  <sheetFormatPr defaultColWidth="9.1796875" defaultRowHeight="11.5" x14ac:dyDescent="0.25"/>
  <cols>
    <col min="1" max="1" width="2" style="2" customWidth="1"/>
    <col min="2" max="16384" width="9.1796875" style="2"/>
  </cols>
  <sheetData>
    <row r="1" spans="2:2" ht="15.5" x14ac:dyDescent="0.35">
      <c r="B1" s="3"/>
    </row>
    <row r="12" spans="2:2" ht="40" x14ac:dyDescent="0.8">
      <c r="B12" s="12" t="s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I1048576"/>
  <sheetViews>
    <sheetView workbookViewId="0">
      <selection activeCell="D1" sqref="D1"/>
    </sheetView>
  </sheetViews>
  <sheetFormatPr defaultColWidth="9.1796875" defaultRowHeight="14.5" x14ac:dyDescent="0.35"/>
  <cols>
    <col min="1" max="1" width="2" style="2" customWidth="1"/>
    <col min="2" max="2" width="17.26953125" style="1" bestFit="1" customWidth="1"/>
    <col min="3" max="3" width="27.453125" style="2" bestFit="1" customWidth="1"/>
    <col min="4" max="4" width="29.54296875" style="2" customWidth="1"/>
    <col min="5" max="5" width="28" style="2" customWidth="1"/>
    <col min="6" max="6" width="11.453125" style="2" customWidth="1"/>
    <col min="7" max="7" width="16.1796875" style="2" bestFit="1" customWidth="1"/>
    <col min="8" max="8" width="8.7265625" style="2"/>
    <col min="9" max="16384" width="9.1796875" style="2"/>
  </cols>
  <sheetData>
    <row r="1" spans="2:9" ht="15.5" x14ac:dyDescent="0.35">
      <c r="B1" s="2"/>
      <c r="C1" s="3" t="s">
        <v>254</v>
      </c>
      <c r="I1"/>
    </row>
    <row r="2" spans="2:9" x14ac:dyDescent="0.35">
      <c r="B2" s="2"/>
      <c r="H2" s="1"/>
      <c r="I2" s="1"/>
    </row>
    <row r="3" spans="2:9" x14ac:dyDescent="0.35">
      <c r="B3" s="2"/>
      <c r="H3" s="1"/>
      <c r="I3" s="1"/>
    </row>
    <row r="4" spans="2:9" ht="12" customHeight="1" x14ac:dyDescent="0.25">
      <c r="B4" s="2" t="s">
        <v>99</v>
      </c>
      <c r="C4" s="4" t="s">
        <v>204</v>
      </c>
      <c r="D4" s="4" t="s">
        <v>30</v>
      </c>
      <c r="E4" s="4" t="s">
        <v>96</v>
      </c>
      <c r="F4" s="4" t="s">
        <v>97</v>
      </c>
      <c r="G4" s="4" t="s">
        <v>98</v>
      </c>
    </row>
    <row r="5" spans="2:9" ht="12" customHeight="1" x14ac:dyDescent="0.25">
      <c r="B5" s="2" t="s">
        <v>101</v>
      </c>
      <c r="C5" s="4" t="s">
        <v>62</v>
      </c>
      <c r="D5" s="4">
        <v>111111</v>
      </c>
      <c r="E5" s="4" t="s">
        <v>207</v>
      </c>
      <c r="F5" s="20">
        <v>-14500341</v>
      </c>
      <c r="G5" s="4">
        <v>2001110000</v>
      </c>
    </row>
    <row r="6" spans="2:9" ht="12" customHeight="1" x14ac:dyDescent="0.25">
      <c r="B6" s="2" t="s">
        <v>102</v>
      </c>
      <c r="C6" s="4" t="s">
        <v>63</v>
      </c>
      <c r="D6" s="4">
        <v>111111</v>
      </c>
      <c r="E6" s="4" t="s">
        <v>207</v>
      </c>
      <c r="F6" s="20">
        <v>-4794856.1919999998</v>
      </c>
      <c r="G6" s="4">
        <v>2001190000</v>
      </c>
    </row>
    <row r="7" spans="2:9" ht="12" customHeight="1" x14ac:dyDescent="0.25">
      <c r="B7" s="2" t="s">
        <v>103</v>
      </c>
      <c r="C7" s="4" t="s">
        <v>64</v>
      </c>
      <c r="D7" s="4">
        <v>1009</v>
      </c>
      <c r="E7" s="4" t="s">
        <v>34</v>
      </c>
      <c r="F7" s="20">
        <v>-154890.4</v>
      </c>
      <c r="G7" s="4">
        <v>2020000000</v>
      </c>
    </row>
    <row r="8" spans="2:9" ht="12" customHeight="1" x14ac:dyDescent="0.25">
      <c r="B8" s="2" t="s">
        <v>104</v>
      </c>
      <c r="C8" s="4" t="s">
        <v>64</v>
      </c>
      <c r="D8" s="4">
        <v>1007</v>
      </c>
      <c r="E8" s="4" t="s">
        <v>36</v>
      </c>
      <c r="F8" s="20">
        <v>-1180894.0520000001</v>
      </c>
      <c r="G8" s="4">
        <v>2020000000</v>
      </c>
    </row>
    <row r="9" spans="2:9" ht="12" customHeight="1" x14ac:dyDescent="0.25">
      <c r="B9" s="2" t="s">
        <v>105</v>
      </c>
      <c r="C9" s="4" t="s">
        <v>64</v>
      </c>
      <c r="D9" s="4">
        <v>1008</v>
      </c>
      <c r="E9" s="4" t="s">
        <v>38</v>
      </c>
      <c r="F9" s="20">
        <v>-793079.51199999999</v>
      </c>
      <c r="G9" s="4">
        <v>2020000000</v>
      </c>
    </row>
    <row r="10" spans="2:9" ht="12" customHeight="1" x14ac:dyDescent="0.25">
      <c r="B10" s="2" t="s">
        <v>106</v>
      </c>
      <c r="C10" s="4" t="s">
        <v>64</v>
      </c>
      <c r="D10" s="4">
        <v>111101</v>
      </c>
      <c r="E10" s="4" t="s">
        <v>0</v>
      </c>
      <c r="F10" s="20">
        <v>-2277197.6</v>
      </c>
      <c r="G10" s="4">
        <v>2020000000</v>
      </c>
    </row>
    <row r="11" spans="2:9" ht="12" customHeight="1" x14ac:dyDescent="0.25">
      <c r="B11" s="2" t="s">
        <v>107</v>
      </c>
      <c r="C11" s="4" t="s">
        <v>224</v>
      </c>
      <c r="D11" s="4">
        <v>111111</v>
      </c>
      <c r="E11" s="4" t="s">
        <v>207</v>
      </c>
      <c r="F11" s="20">
        <v>4428911.7640000004</v>
      </c>
      <c r="G11" s="4">
        <v>2021900000</v>
      </c>
    </row>
    <row r="12" spans="2:9" ht="12" customHeight="1" x14ac:dyDescent="0.25">
      <c r="B12" s="2" t="s">
        <v>108</v>
      </c>
      <c r="C12" s="4" t="s">
        <v>66</v>
      </c>
      <c r="D12" s="4">
        <v>111111</v>
      </c>
      <c r="E12" s="4" t="s">
        <v>207</v>
      </c>
      <c r="F12" s="20">
        <v>16977.628000000001</v>
      </c>
      <c r="G12" s="4">
        <v>2024080000</v>
      </c>
    </row>
    <row r="13" spans="2:9" ht="12" customHeight="1" x14ac:dyDescent="0.25">
      <c r="B13" s="2" t="s">
        <v>109</v>
      </c>
      <c r="C13" s="4" t="s">
        <v>65</v>
      </c>
      <c r="D13" s="4">
        <v>88</v>
      </c>
      <c r="E13" s="4" t="s">
        <v>31</v>
      </c>
      <c r="F13" s="20">
        <v>2245437.54</v>
      </c>
      <c r="G13" s="4">
        <v>2024090000</v>
      </c>
    </row>
    <row r="14" spans="2:9" ht="12" customHeight="1" x14ac:dyDescent="0.25">
      <c r="B14" s="2" t="s">
        <v>110</v>
      </c>
      <c r="C14" s="4" t="s">
        <v>65</v>
      </c>
      <c r="D14" s="4">
        <v>111111</v>
      </c>
      <c r="E14" s="4" t="s">
        <v>207</v>
      </c>
      <c r="F14" s="20">
        <v>16605.634000000002</v>
      </c>
      <c r="G14" s="4">
        <v>2024090000</v>
      </c>
    </row>
    <row r="15" spans="2:9" ht="12" customHeight="1" x14ac:dyDescent="0.25">
      <c r="B15" s="2" t="s">
        <v>111</v>
      </c>
      <c r="C15" s="4" t="s">
        <v>1</v>
      </c>
      <c r="D15" s="4">
        <v>111111</v>
      </c>
      <c r="E15" s="4" t="s">
        <v>207</v>
      </c>
      <c r="F15" s="20">
        <v>4683394.0460000001</v>
      </c>
      <c r="G15" s="4">
        <v>2041000000</v>
      </c>
    </row>
    <row r="16" spans="2:9" ht="12" customHeight="1" x14ac:dyDescent="0.25">
      <c r="B16" s="2" t="s">
        <v>112</v>
      </c>
      <c r="C16" s="4" t="s">
        <v>67</v>
      </c>
      <c r="D16" s="4">
        <v>111101</v>
      </c>
      <c r="E16" s="4" t="s">
        <v>0</v>
      </c>
      <c r="F16" s="20">
        <v>1143051.5760000001</v>
      </c>
      <c r="G16" s="4">
        <v>2042000000</v>
      </c>
    </row>
    <row r="17" spans="2:7" ht="12" customHeight="1" x14ac:dyDescent="0.25">
      <c r="B17" s="2" t="s">
        <v>212</v>
      </c>
      <c r="C17" s="4" t="s">
        <v>67</v>
      </c>
      <c r="D17" s="4">
        <v>88</v>
      </c>
      <c r="E17" s="4" t="s">
        <v>31</v>
      </c>
      <c r="F17" s="20">
        <v>239379.61800000002</v>
      </c>
      <c r="G17" s="4">
        <v>2042000000</v>
      </c>
    </row>
    <row r="18" spans="2:7" ht="12" customHeight="1" x14ac:dyDescent="0.25">
      <c r="B18" s="2" t="s">
        <v>113</v>
      </c>
      <c r="C18" s="4" t="s">
        <v>68</v>
      </c>
      <c r="D18" s="4">
        <v>111101</v>
      </c>
      <c r="E18" s="4" t="s">
        <v>0</v>
      </c>
      <c r="F18" s="20">
        <v>104913.8</v>
      </c>
      <c r="G18" s="4">
        <v>2045000000</v>
      </c>
    </row>
    <row r="19" spans="2:7" ht="12" customHeight="1" x14ac:dyDescent="0.25">
      <c r="B19" s="2" t="s">
        <v>114</v>
      </c>
      <c r="C19" s="4" t="s">
        <v>69</v>
      </c>
      <c r="D19" s="4">
        <v>111101</v>
      </c>
      <c r="E19" s="4" t="s">
        <v>0</v>
      </c>
      <c r="F19" s="20">
        <v>2003262.2180000001</v>
      </c>
      <c r="G19" s="4">
        <v>2051210000</v>
      </c>
    </row>
    <row r="20" spans="2:7" ht="12" customHeight="1" x14ac:dyDescent="0.25">
      <c r="B20" s="2" t="s">
        <v>115</v>
      </c>
      <c r="C20" s="4" t="s">
        <v>69</v>
      </c>
      <c r="D20" s="4">
        <v>111101</v>
      </c>
      <c r="E20" s="4" t="s">
        <v>0</v>
      </c>
      <c r="F20" s="20">
        <v>41981.296000000002</v>
      </c>
      <c r="G20" s="4">
        <v>2051260000</v>
      </c>
    </row>
    <row r="21" spans="2:7" ht="12" customHeight="1" x14ac:dyDescent="0.25">
      <c r="B21" s="2" t="s">
        <v>116</v>
      </c>
      <c r="C21" s="4" t="s">
        <v>70</v>
      </c>
      <c r="D21" s="4" t="s">
        <v>3</v>
      </c>
      <c r="E21" s="4" t="s">
        <v>39</v>
      </c>
      <c r="F21" s="20">
        <v>-2156147.4</v>
      </c>
      <c r="G21" s="4">
        <v>2069010000</v>
      </c>
    </row>
    <row r="22" spans="2:7" ht="12" customHeight="1" x14ac:dyDescent="0.25">
      <c r="B22" s="2" t="s">
        <v>117</v>
      </c>
      <c r="C22" s="4" t="s">
        <v>70</v>
      </c>
      <c r="D22" s="4">
        <v>14</v>
      </c>
      <c r="E22" s="4" t="s">
        <v>40</v>
      </c>
      <c r="F22" s="20">
        <v>-291428.55199999997</v>
      </c>
      <c r="G22" s="4">
        <v>2069010000</v>
      </c>
    </row>
    <row r="23" spans="2:7" ht="12" customHeight="1" x14ac:dyDescent="0.25">
      <c r="B23" s="2" t="s">
        <v>118</v>
      </c>
      <c r="C23" s="4" t="s">
        <v>70</v>
      </c>
      <c r="D23" s="4">
        <v>1037</v>
      </c>
      <c r="E23" s="4" t="s">
        <v>45</v>
      </c>
      <c r="F23" s="20">
        <v>0</v>
      </c>
      <c r="G23" s="4">
        <v>2069010000</v>
      </c>
    </row>
    <row r="24" spans="2:7" ht="12" customHeight="1" x14ac:dyDescent="0.25">
      <c r="B24" s="2" t="s">
        <v>119</v>
      </c>
      <c r="C24" s="4" t="s">
        <v>70</v>
      </c>
      <c r="D24" s="4" t="s">
        <v>4</v>
      </c>
      <c r="E24" s="4" t="s">
        <v>44</v>
      </c>
      <c r="F24" s="20">
        <v>-33736.5</v>
      </c>
      <c r="G24" s="4">
        <v>2069010000</v>
      </c>
    </row>
    <row r="25" spans="2:7" ht="12" customHeight="1" x14ac:dyDescent="0.25">
      <c r="B25" s="2" t="s">
        <v>120</v>
      </c>
      <c r="C25" s="4" t="s">
        <v>70</v>
      </c>
      <c r="D25" s="4">
        <v>1009</v>
      </c>
      <c r="E25" s="4" t="s">
        <v>34</v>
      </c>
      <c r="F25" s="20">
        <v>0</v>
      </c>
      <c r="G25" s="4">
        <v>2069010000</v>
      </c>
    </row>
    <row r="26" spans="2:7" ht="12" customHeight="1" x14ac:dyDescent="0.25">
      <c r="B26" s="2" t="s">
        <v>121</v>
      </c>
      <c r="C26" s="4" t="s">
        <v>70</v>
      </c>
      <c r="D26" s="4">
        <v>1007</v>
      </c>
      <c r="E26" s="4" t="s">
        <v>36</v>
      </c>
      <c r="F26" s="20">
        <v>0</v>
      </c>
      <c r="G26" s="4">
        <v>2069010000</v>
      </c>
    </row>
    <row r="27" spans="2:7" ht="12" customHeight="1" x14ac:dyDescent="0.25">
      <c r="B27" s="2" t="s">
        <v>122</v>
      </c>
      <c r="C27" s="4" t="s">
        <v>70</v>
      </c>
      <c r="D27" s="4">
        <v>1008</v>
      </c>
      <c r="E27" s="4" t="s">
        <v>38</v>
      </c>
      <c r="F27" s="20">
        <v>0</v>
      </c>
      <c r="G27" s="4">
        <v>2069010000</v>
      </c>
    </row>
    <row r="28" spans="2:7" ht="12" customHeight="1" x14ac:dyDescent="0.25">
      <c r="B28" s="2" t="s">
        <v>123</v>
      </c>
      <c r="C28" s="4" t="s">
        <v>70</v>
      </c>
      <c r="D28" s="4">
        <v>1240</v>
      </c>
      <c r="E28" s="4" t="s">
        <v>43</v>
      </c>
      <c r="F28" s="20">
        <v>-199600.4</v>
      </c>
      <c r="G28" s="4">
        <v>2069010000</v>
      </c>
    </row>
    <row r="29" spans="2:7" ht="12" customHeight="1" x14ac:dyDescent="0.25">
      <c r="B29" s="2" t="s">
        <v>124</v>
      </c>
      <c r="C29" s="4" t="s">
        <v>70</v>
      </c>
      <c r="D29" s="4">
        <v>111111</v>
      </c>
      <c r="E29" s="4" t="s">
        <v>207</v>
      </c>
      <c r="F29" s="20">
        <v>-539141.4</v>
      </c>
      <c r="G29" s="4">
        <v>2069010000</v>
      </c>
    </row>
    <row r="30" spans="2:7" ht="12" customHeight="1" x14ac:dyDescent="0.25">
      <c r="B30" s="2" t="s">
        <v>125</v>
      </c>
      <c r="C30" s="4" t="s">
        <v>71</v>
      </c>
      <c r="D30" s="4">
        <v>111111</v>
      </c>
      <c r="E30" s="4" t="s">
        <v>207</v>
      </c>
      <c r="F30" s="20">
        <v>-57.221999999999994</v>
      </c>
      <c r="G30" s="4">
        <v>2069980000</v>
      </c>
    </row>
    <row r="31" spans="2:7" ht="12" customHeight="1" x14ac:dyDescent="0.25">
      <c r="B31" s="2" t="s">
        <v>126</v>
      </c>
      <c r="C31" s="4" t="s">
        <v>72</v>
      </c>
      <c r="D31" s="4">
        <v>111111</v>
      </c>
      <c r="E31" s="4" t="s">
        <v>207</v>
      </c>
      <c r="F31" s="20">
        <v>22314.879999999997</v>
      </c>
      <c r="G31" s="4">
        <v>2070400000</v>
      </c>
    </row>
    <row r="32" spans="2:7" ht="12" customHeight="1" x14ac:dyDescent="0.25">
      <c r="B32" s="2" t="s">
        <v>127</v>
      </c>
      <c r="C32" s="4" t="s">
        <v>73</v>
      </c>
      <c r="D32" s="4">
        <v>88</v>
      </c>
      <c r="E32" s="4" t="s">
        <v>31</v>
      </c>
      <c r="F32" s="20">
        <v>204000</v>
      </c>
      <c r="G32" s="4">
        <v>2070500000</v>
      </c>
    </row>
    <row r="33" spans="2:7" ht="12" customHeight="1" x14ac:dyDescent="0.25">
      <c r="B33" s="2" t="s">
        <v>128</v>
      </c>
      <c r="C33" s="4" t="s">
        <v>73</v>
      </c>
      <c r="D33" s="4">
        <v>111111</v>
      </c>
      <c r="E33" s="4" t="s">
        <v>207</v>
      </c>
      <c r="F33" s="20">
        <v>138.41399999999999</v>
      </c>
      <c r="G33" s="4">
        <v>2070500000</v>
      </c>
    </row>
    <row r="34" spans="2:7" ht="12" customHeight="1" x14ac:dyDescent="0.25">
      <c r="B34" s="2" t="s">
        <v>129</v>
      </c>
      <c r="C34" s="4" t="s">
        <v>74</v>
      </c>
      <c r="D34" s="4">
        <v>111111</v>
      </c>
      <c r="E34" s="4" t="s">
        <v>207</v>
      </c>
      <c r="F34" s="20">
        <v>1127445.872</v>
      </c>
      <c r="G34" s="4">
        <v>2070600000</v>
      </c>
    </row>
    <row r="35" spans="2:7" ht="12" customHeight="1" x14ac:dyDescent="0.25">
      <c r="B35" s="2" t="s">
        <v>130</v>
      </c>
      <c r="C35" s="4" t="s">
        <v>75</v>
      </c>
      <c r="D35" s="4" t="s">
        <v>5</v>
      </c>
      <c r="E35" s="4" t="s">
        <v>41</v>
      </c>
      <c r="F35" s="20">
        <v>133722</v>
      </c>
      <c r="G35" s="4">
        <v>2070900000</v>
      </c>
    </row>
    <row r="36" spans="2:7" ht="12" customHeight="1" x14ac:dyDescent="0.25">
      <c r="B36" s="2" t="s">
        <v>131</v>
      </c>
      <c r="C36" s="4" t="s">
        <v>75</v>
      </c>
      <c r="D36" s="4" t="s">
        <v>6</v>
      </c>
      <c r="E36" s="4" t="s">
        <v>42</v>
      </c>
      <c r="F36" s="20">
        <v>328061.886</v>
      </c>
      <c r="G36" s="4">
        <v>2070900000</v>
      </c>
    </row>
    <row r="37" spans="2:7" ht="12" customHeight="1" x14ac:dyDescent="0.25">
      <c r="B37" s="2" t="s">
        <v>132</v>
      </c>
      <c r="C37" s="4" t="s">
        <v>75</v>
      </c>
      <c r="D37" s="4">
        <v>111111</v>
      </c>
      <c r="E37" s="4" t="s">
        <v>207</v>
      </c>
      <c r="F37" s="20">
        <v>2081304.3219999997</v>
      </c>
      <c r="G37" s="4">
        <v>2070900000</v>
      </c>
    </row>
    <row r="38" spans="2:7" ht="12" customHeight="1" x14ac:dyDescent="0.25">
      <c r="B38" s="2" t="s">
        <v>133</v>
      </c>
      <c r="C38" s="4" t="s">
        <v>7</v>
      </c>
      <c r="D38" s="4">
        <v>111111</v>
      </c>
      <c r="E38" s="4" t="s">
        <v>207</v>
      </c>
      <c r="F38" s="20">
        <v>33410.031999999999</v>
      </c>
      <c r="G38" s="4">
        <v>2071000000</v>
      </c>
    </row>
    <row r="39" spans="2:7" ht="12" customHeight="1" x14ac:dyDescent="0.25">
      <c r="B39" s="2" t="s">
        <v>134</v>
      </c>
      <c r="C39" s="4" t="s">
        <v>76</v>
      </c>
      <c r="D39" s="4">
        <v>111111</v>
      </c>
      <c r="E39" s="4" t="s">
        <v>207</v>
      </c>
      <c r="F39" s="20">
        <v>213090.85199999998</v>
      </c>
      <c r="G39" s="4">
        <v>2071100000</v>
      </c>
    </row>
    <row r="40" spans="2:7" ht="12" customHeight="1" x14ac:dyDescent="0.25">
      <c r="B40" s="2" t="s">
        <v>135</v>
      </c>
      <c r="C40" s="4" t="s">
        <v>8</v>
      </c>
      <c r="D40" s="4">
        <v>111111</v>
      </c>
      <c r="E40" s="4" t="s">
        <v>207</v>
      </c>
      <c r="F40" s="20">
        <v>1813525.004</v>
      </c>
      <c r="G40" s="4">
        <v>2071209200</v>
      </c>
    </row>
    <row r="41" spans="2:7" ht="12" customHeight="1" x14ac:dyDescent="0.25">
      <c r="B41" s="2" t="s">
        <v>136</v>
      </c>
      <c r="C41" s="4" t="s">
        <v>77</v>
      </c>
      <c r="D41" s="4">
        <v>111111</v>
      </c>
      <c r="E41" s="4" t="s">
        <v>207</v>
      </c>
      <c r="F41" s="20">
        <v>5552.2</v>
      </c>
      <c r="G41" s="4">
        <v>2071209400</v>
      </c>
    </row>
    <row r="42" spans="2:7" ht="12" customHeight="1" x14ac:dyDescent="0.25">
      <c r="B42" s="2" t="s">
        <v>137</v>
      </c>
      <c r="C42" s="4" t="s">
        <v>78</v>
      </c>
      <c r="D42" s="4">
        <v>111111</v>
      </c>
      <c r="E42" s="4" t="s">
        <v>207</v>
      </c>
      <c r="F42" s="20">
        <v>43868.975999999995</v>
      </c>
      <c r="G42" s="4">
        <v>2071209500</v>
      </c>
    </row>
    <row r="43" spans="2:7" ht="12" customHeight="1" x14ac:dyDescent="0.25">
      <c r="B43" s="2" t="s">
        <v>138</v>
      </c>
      <c r="C43" s="4" t="s">
        <v>79</v>
      </c>
      <c r="D43" s="4">
        <v>111101</v>
      </c>
      <c r="E43" s="4" t="s">
        <v>0</v>
      </c>
      <c r="F43" s="20">
        <v>10934.671999999999</v>
      </c>
      <c r="G43" s="4">
        <v>2071980000</v>
      </c>
    </row>
    <row r="44" spans="2:7" ht="12" customHeight="1" x14ac:dyDescent="0.25">
      <c r="B44" s="2" t="s">
        <v>139</v>
      </c>
      <c r="C44" s="4" t="s">
        <v>80</v>
      </c>
      <c r="D44" s="4">
        <v>111111</v>
      </c>
      <c r="E44" s="4" t="s">
        <v>207</v>
      </c>
      <c r="F44" s="20">
        <v>20400</v>
      </c>
      <c r="G44" s="4">
        <v>2079022000</v>
      </c>
    </row>
    <row r="45" spans="2:7" ht="12" customHeight="1" x14ac:dyDescent="0.25">
      <c r="B45" s="2" t="s">
        <v>140</v>
      </c>
      <c r="C45" s="4" t="s">
        <v>81</v>
      </c>
      <c r="D45" s="4">
        <v>105</v>
      </c>
      <c r="E45" s="4" t="s">
        <v>32</v>
      </c>
      <c r="F45" s="20">
        <v>0</v>
      </c>
      <c r="G45" s="4">
        <v>2079070000</v>
      </c>
    </row>
    <row r="46" spans="2:7" ht="12" customHeight="1" x14ac:dyDescent="0.25">
      <c r="B46" s="2" t="s">
        <v>141</v>
      </c>
      <c r="C46" s="4" t="s">
        <v>81</v>
      </c>
      <c r="D46" s="4">
        <v>111111</v>
      </c>
      <c r="E46" s="4" t="s">
        <v>207</v>
      </c>
      <c r="F46" s="20">
        <v>563918.152</v>
      </c>
      <c r="G46" s="4">
        <v>2079070000</v>
      </c>
    </row>
    <row r="47" spans="2:7" ht="12" customHeight="1" x14ac:dyDescent="0.25">
      <c r="B47" s="2" t="s">
        <v>142</v>
      </c>
      <c r="C47" s="4" t="s">
        <v>82</v>
      </c>
      <c r="D47" s="4">
        <v>1009</v>
      </c>
      <c r="E47" s="4" t="s">
        <v>34</v>
      </c>
      <c r="F47" s="20">
        <v>0</v>
      </c>
      <c r="G47" s="4">
        <v>2079080000</v>
      </c>
    </row>
    <row r="48" spans="2:7" ht="12" customHeight="1" x14ac:dyDescent="0.25">
      <c r="B48" s="2" t="s">
        <v>143</v>
      </c>
      <c r="C48" s="4" t="s">
        <v>82</v>
      </c>
      <c r="D48" s="4">
        <v>1007</v>
      </c>
      <c r="E48" s="4" t="s">
        <v>36</v>
      </c>
      <c r="F48" s="20">
        <v>0</v>
      </c>
      <c r="G48" s="4">
        <v>2079080000</v>
      </c>
    </row>
    <row r="49" spans="2:7" ht="12" customHeight="1" x14ac:dyDescent="0.25">
      <c r="B49" s="2" t="s">
        <v>144</v>
      </c>
      <c r="C49" s="4" t="s">
        <v>82</v>
      </c>
      <c r="D49" s="4">
        <v>1008</v>
      </c>
      <c r="E49" s="4" t="s">
        <v>38</v>
      </c>
      <c r="F49" s="20">
        <v>0</v>
      </c>
      <c r="G49" s="4">
        <v>2079080000</v>
      </c>
    </row>
    <row r="50" spans="2:7" ht="12" customHeight="1" x14ac:dyDescent="0.25">
      <c r="B50" s="2" t="s">
        <v>145</v>
      </c>
      <c r="C50" s="4" t="s">
        <v>83</v>
      </c>
      <c r="D50" s="4">
        <v>1009</v>
      </c>
      <c r="E50" s="4" t="s">
        <v>34</v>
      </c>
      <c r="F50" s="20">
        <v>0</v>
      </c>
      <c r="G50" s="4">
        <v>2082280000</v>
      </c>
    </row>
    <row r="51" spans="2:7" ht="12" customHeight="1" x14ac:dyDescent="0.25">
      <c r="B51" s="2" t="s">
        <v>146</v>
      </c>
      <c r="C51" s="4" t="s">
        <v>83</v>
      </c>
      <c r="D51" s="4">
        <v>1007</v>
      </c>
      <c r="E51" s="4" t="s">
        <v>36</v>
      </c>
      <c r="F51" s="20">
        <v>0</v>
      </c>
      <c r="G51" s="4">
        <v>2082280000</v>
      </c>
    </row>
    <row r="52" spans="2:7" ht="12" customHeight="1" x14ac:dyDescent="0.25">
      <c r="B52" s="2" t="s">
        <v>147</v>
      </c>
      <c r="C52" s="4" t="s">
        <v>83</v>
      </c>
      <c r="D52" s="4">
        <v>1008</v>
      </c>
      <c r="E52" s="4" t="s">
        <v>38</v>
      </c>
      <c r="F52" s="20">
        <v>0</v>
      </c>
      <c r="G52" s="4">
        <v>2082280000</v>
      </c>
    </row>
    <row r="53" spans="2:7" ht="12" customHeight="1" x14ac:dyDescent="0.25">
      <c r="B53" s="2" t="s">
        <v>148</v>
      </c>
      <c r="C53" s="4" t="s">
        <v>83</v>
      </c>
      <c r="D53" s="4">
        <v>1240</v>
      </c>
      <c r="E53" s="4" t="s">
        <v>43</v>
      </c>
      <c r="F53" s="20">
        <v>-35810.228000000003</v>
      </c>
      <c r="G53" s="4">
        <v>2082280000</v>
      </c>
    </row>
    <row r="54" spans="2:7" ht="12" customHeight="1" x14ac:dyDescent="0.25">
      <c r="B54" s="2" t="s">
        <v>149</v>
      </c>
      <c r="C54" s="4" t="s">
        <v>83</v>
      </c>
      <c r="D54" s="4">
        <v>111111</v>
      </c>
      <c r="E54" s="4" t="s">
        <v>207</v>
      </c>
      <c r="F54" s="20">
        <v>-51927.417999999998</v>
      </c>
      <c r="G54" s="4">
        <v>2082280000</v>
      </c>
    </row>
    <row r="55" spans="2:7" ht="12" customHeight="1" x14ac:dyDescent="0.25">
      <c r="B55" s="2" t="s">
        <v>150</v>
      </c>
      <c r="C55" s="4" t="s">
        <v>9</v>
      </c>
      <c r="D55" s="4">
        <v>111101</v>
      </c>
      <c r="E55" s="4" t="s">
        <v>0</v>
      </c>
      <c r="F55" s="20">
        <v>-862270.63399999996</v>
      </c>
      <c r="G55" s="4">
        <v>2082202000</v>
      </c>
    </row>
    <row r="56" spans="2:7" ht="12" customHeight="1" x14ac:dyDescent="0.25">
      <c r="B56" s="2" t="s">
        <v>151</v>
      </c>
      <c r="C56" s="4" t="s">
        <v>84</v>
      </c>
      <c r="D56" s="4">
        <v>111101</v>
      </c>
      <c r="E56" s="4" t="s">
        <v>0</v>
      </c>
      <c r="F56" s="20">
        <v>22763</v>
      </c>
      <c r="G56" s="4">
        <v>2082208200</v>
      </c>
    </row>
    <row r="57" spans="2:7" ht="12" customHeight="1" x14ac:dyDescent="0.25">
      <c r="B57" s="2" t="s">
        <v>152</v>
      </c>
      <c r="C57" s="4" t="s">
        <v>85</v>
      </c>
      <c r="D57" s="4">
        <v>88</v>
      </c>
      <c r="E57" s="4" t="s">
        <v>31</v>
      </c>
      <c r="F57" s="20">
        <v>2930430.0120000001</v>
      </c>
      <c r="G57" s="4">
        <v>2082214000</v>
      </c>
    </row>
    <row r="58" spans="2:7" ht="12" customHeight="1" x14ac:dyDescent="0.25">
      <c r="B58" s="2" t="s">
        <v>153</v>
      </c>
      <c r="C58" s="4" t="s">
        <v>86</v>
      </c>
      <c r="D58" s="4">
        <v>111101</v>
      </c>
      <c r="E58" s="4" t="s">
        <v>0</v>
      </c>
      <c r="F58" s="20">
        <v>-49378.641999999993</v>
      </c>
      <c r="G58" s="4">
        <v>2091200000</v>
      </c>
    </row>
    <row r="59" spans="2:7" ht="12" customHeight="1" x14ac:dyDescent="0.25">
      <c r="B59" s="2" t="s">
        <v>154</v>
      </c>
      <c r="C59" s="4" t="s">
        <v>87</v>
      </c>
      <c r="D59" s="4">
        <v>111101</v>
      </c>
      <c r="E59" s="4" t="s">
        <v>0</v>
      </c>
      <c r="F59" s="20">
        <v>516250.67</v>
      </c>
      <c r="G59" s="4">
        <v>2091200001</v>
      </c>
    </row>
    <row r="60" spans="2:7" ht="12" customHeight="1" x14ac:dyDescent="0.25">
      <c r="B60" s="2" t="s">
        <v>155</v>
      </c>
      <c r="C60" s="4" t="s">
        <v>88</v>
      </c>
      <c r="D60" s="4">
        <v>111101</v>
      </c>
      <c r="E60" s="4" t="s">
        <v>0</v>
      </c>
      <c r="F60" s="20">
        <v>21593.093999999997</v>
      </c>
      <c r="G60" s="4">
        <v>2092200000</v>
      </c>
    </row>
    <row r="61" spans="2:7" ht="12" customHeight="1" x14ac:dyDescent="0.25">
      <c r="B61" s="2" t="s">
        <v>156</v>
      </c>
      <c r="C61" s="19" t="s">
        <v>61</v>
      </c>
      <c r="D61" s="19">
        <v>111101</v>
      </c>
      <c r="E61" s="19" t="s">
        <v>0</v>
      </c>
      <c r="F61" s="21">
        <f>SUM(F5:F60)</f>
        <v>-2904117.9939999986</v>
      </c>
      <c r="G61" s="19">
        <v>2999999999</v>
      </c>
    </row>
    <row r="62" spans="2:7" ht="11.5" x14ac:dyDescent="0.25">
      <c r="B62" s="2" t="s">
        <v>100</v>
      </c>
    </row>
    <row r="1048568" spans="2:9" x14ac:dyDescent="0.35">
      <c r="B1048568" s="2"/>
      <c r="I1048568" s="1"/>
    </row>
    <row r="1048569" spans="2:9" x14ac:dyDescent="0.35">
      <c r="B1048569" s="2"/>
      <c r="I1048569" s="1"/>
    </row>
    <row r="1048570" spans="2:9" x14ac:dyDescent="0.35">
      <c r="B1048570" s="2"/>
      <c r="I1048570" s="1"/>
    </row>
    <row r="1048571" spans="2:9" x14ac:dyDescent="0.35">
      <c r="B1048571" s="2"/>
      <c r="I1048571" s="1"/>
    </row>
    <row r="1048572" spans="2:9" x14ac:dyDescent="0.35">
      <c r="B1048572" s="2"/>
      <c r="I1048572" s="1"/>
    </row>
    <row r="1048573" spans="2:9" x14ac:dyDescent="0.35">
      <c r="B1048573" s="2"/>
      <c r="I1048573" s="1"/>
    </row>
    <row r="1048574" spans="2:9" x14ac:dyDescent="0.35">
      <c r="B1048574" s="2"/>
      <c r="I1048574" s="1"/>
    </row>
    <row r="1048575" spans="2:9" x14ac:dyDescent="0.35">
      <c r="B1048575" s="2"/>
      <c r="I1048575" s="1"/>
    </row>
    <row r="1048576" spans="2:9" x14ac:dyDescent="0.35">
      <c r="B1048576" s="2"/>
      <c r="I1048576" s="1"/>
    </row>
  </sheetData>
  <autoFilter ref="C4:G62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86"/>
  <sheetViews>
    <sheetView workbookViewId="0">
      <selection activeCell="C1" sqref="C1"/>
    </sheetView>
  </sheetViews>
  <sheetFormatPr defaultColWidth="9.1796875" defaultRowHeight="11.5" x14ac:dyDescent="0.25"/>
  <cols>
    <col min="1" max="1" width="2" style="2" customWidth="1"/>
    <col min="2" max="3" width="17.26953125" style="2" bestFit="1" customWidth="1"/>
    <col min="4" max="4" width="27.26953125" style="2" customWidth="1"/>
    <col min="5" max="5" width="21.1796875" style="2" bestFit="1" customWidth="1"/>
    <col min="6" max="6" width="17.1796875" style="2" customWidth="1"/>
    <col min="7" max="7" width="15.54296875" style="2" customWidth="1"/>
    <col min="8" max="8" width="17.26953125" style="2" bestFit="1" customWidth="1"/>
    <col min="9" max="16384" width="9.1796875" style="2"/>
  </cols>
  <sheetData>
    <row r="1" spans="2:7" ht="15.5" x14ac:dyDescent="0.35">
      <c r="B1" s="3" t="s">
        <v>253</v>
      </c>
    </row>
    <row r="4" spans="2:7" x14ac:dyDescent="0.25">
      <c r="B4" s="2" t="s">
        <v>99</v>
      </c>
      <c r="C4" s="4" t="s">
        <v>204</v>
      </c>
      <c r="D4" s="4" t="s">
        <v>30</v>
      </c>
      <c r="E4" s="4" t="s">
        <v>205</v>
      </c>
      <c r="F4" s="22" t="s">
        <v>206</v>
      </c>
      <c r="G4" s="4" t="s">
        <v>98</v>
      </c>
    </row>
    <row r="5" spans="2:7" x14ac:dyDescent="0.25">
      <c r="B5" s="2" t="s">
        <v>157</v>
      </c>
      <c r="C5" s="4" t="s">
        <v>62</v>
      </c>
      <c r="D5" s="4">
        <v>105</v>
      </c>
      <c r="E5" s="4" t="s">
        <v>32</v>
      </c>
      <c r="F5" s="20">
        <v>-355396.61499999999</v>
      </c>
      <c r="G5" s="4">
        <v>2001110000</v>
      </c>
    </row>
    <row r="6" spans="2:7" x14ac:dyDescent="0.25">
      <c r="B6" s="2" t="s">
        <v>101</v>
      </c>
      <c r="C6" s="4" t="s">
        <v>62</v>
      </c>
      <c r="D6" s="4">
        <v>111111</v>
      </c>
      <c r="E6" s="4" t="s">
        <v>207</v>
      </c>
      <c r="F6" s="20">
        <v>-15792898.75</v>
      </c>
      <c r="G6" s="4">
        <v>2001110000</v>
      </c>
    </row>
    <row r="7" spans="2:7" ht="12" customHeight="1" x14ac:dyDescent="0.25">
      <c r="B7" s="2" t="s">
        <v>102</v>
      </c>
      <c r="C7" s="4" t="s">
        <v>63</v>
      </c>
      <c r="D7" s="4">
        <v>111111</v>
      </c>
      <c r="E7" s="4" t="s">
        <v>207</v>
      </c>
      <c r="F7" s="20">
        <v>-6960217.6449999996</v>
      </c>
      <c r="G7" s="4">
        <v>2001190000</v>
      </c>
    </row>
    <row r="8" spans="2:7" x14ac:dyDescent="0.25">
      <c r="B8" s="2" t="s">
        <v>158</v>
      </c>
      <c r="C8" s="4" t="s">
        <v>64</v>
      </c>
      <c r="D8" s="4" t="s">
        <v>10</v>
      </c>
      <c r="E8" s="4" t="s">
        <v>46</v>
      </c>
      <c r="F8" s="20">
        <v>-420017.14999999997</v>
      </c>
      <c r="G8" s="4">
        <v>2020000000</v>
      </c>
    </row>
    <row r="9" spans="2:7" x14ac:dyDescent="0.25">
      <c r="B9" s="2" t="s">
        <v>104</v>
      </c>
      <c r="C9" s="4" t="s">
        <v>64</v>
      </c>
      <c r="D9" s="4">
        <v>1007</v>
      </c>
      <c r="E9" s="4" t="s">
        <v>36</v>
      </c>
      <c r="F9" s="20">
        <v>-89234.880000000005</v>
      </c>
      <c r="G9" s="4">
        <v>2020000000</v>
      </c>
    </row>
    <row r="10" spans="2:7" x14ac:dyDescent="0.25">
      <c r="B10" s="2" t="s">
        <v>105</v>
      </c>
      <c r="C10" s="4" t="s">
        <v>64</v>
      </c>
      <c r="D10" s="4">
        <v>1008</v>
      </c>
      <c r="E10" s="4" t="s">
        <v>38</v>
      </c>
      <c r="F10" s="20">
        <v>-26173</v>
      </c>
      <c r="G10" s="4">
        <v>2020000000</v>
      </c>
    </row>
    <row r="11" spans="2:7" x14ac:dyDescent="0.25">
      <c r="B11" s="2" t="s">
        <v>106</v>
      </c>
      <c r="C11" s="4" t="s">
        <v>64</v>
      </c>
      <c r="D11" s="4">
        <v>111101</v>
      </c>
      <c r="E11" s="4" t="s">
        <v>0</v>
      </c>
      <c r="F11" s="20">
        <v>-209401.92</v>
      </c>
      <c r="G11" s="4">
        <v>2020000000</v>
      </c>
    </row>
    <row r="12" spans="2:7" x14ac:dyDescent="0.25">
      <c r="B12" s="2" t="s">
        <v>159</v>
      </c>
      <c r="C12" s="4" t="s">
        <v>208</v>
      </c>
      <c r="D12" s="4">
        <v>111111</v>
      </c>
      <c r="E12" s="4" t="s">
        <v>207</v>
      </c>
      <c r="F12" s="20">
        <v>14589.33</v>
      </c>
      <c r="G12" s="4">
        <v>2021210000</v>
      </c>
    </row>
    <row r="13" spans="2:7" x14ac:dyDescent="0.25">
      <c r="B13" s="2" t="s">
        <v>107</v>
      </c>
      <c r="C13" s="4" t="s">
        <v>224</v>
      </c>
      <c r="D13" s="4">
        <v>111111</v>
      </c>
      <c r="E13" s="4" t="s">
        <v>207</v>
      </c>
      <c r="F13" s="20">
        <v>5463188.8250000002</v>
      </c>
      <c r="G13" s="4">
        <v>2021900000</v>
      </c>
    </row>
    <row r="14" spans="2:7" x14ac:dyDescent="0.25">
      <c r="B14" s="2" t="s">
        <v>108</v>
      </c>
      <c r="C14" s="4" t="s">
        <v>66</v>
      </c>
      <c r="D14" s="4">
        <v>111111</v>
      </c>
      <c r="E14" s="4" t="s">
        <v>207</v>
      </c>
      <c r="F14" s="20">
        <v>343675</v>
      </c>
      <c r="G14" s="4">
        <v>2024080000</v>
      </c>
    </row>
    <row r="15" spans="2:7" x14ac:dyDescent="0.25">
      <c r="B15" s="2" t="s">
        <v>160</v>
      </c>
      <c r="C15" s="4" t="s">
        <v>65</v>
      </c>
      <c r="D15" s="4">
        <v>19</v>
      </c>
      <c r="E15" s="4" t="s">
        <v>40</v>
      </c>
      <c r="F15" s="20">
        <v>38521</v>
      </c>
      <c r="G15" s="4">
        <v>2024090000</v>
      </c>
    </row>
    <row r="16" spans="2:7" x14ac:dyDescent="0.25">
      <c r="B16" s="2" t="s">
        <v>109</v>
      </c>
      <c r="C16" s="4" t="s">
        <v>65</v>
      </c>
      <c r="D16" s="4">
        <v>88</v>
      </c>
      <c r="E16" s="4" t="s">
        <v>31</v>
      </c>
      <c r="F16" s="20">
        <v>1980162.23</v>
      </c>
      <c r="G16" s="4">
        <v>2024090000</v>
      </c>
    </row>
    <row r="17" spans="2:7" x14ac:dyDescent="0.25">
      <c r="B17" s="2" t="s">
        <v>161</v>
      </c>
      <c r="C17" s="4" t="s">
        <v>65</v>
      </c>
      <c r="D17" s="4" t="s">
        <v>11</v>
      </c>
      <c r="E17" s="4" t="s">
        <v>33</v>
      </c>
      <c r="F17" s="20">
        <v>1820</v>
      </c>
      <c r="G17" s="4">
        <v>2024090000</v>
      </c>
    </row>
    <row r="18" spans="2:7" x14ac:dyDescent="0.25">
      <c r="B18" s="2" t="s">
        <v>162</v>
      </c>
      <c r="C18" s="4" t="s">
        <v>65</v>
      </c>
      <c r="D18" s="4" t="s">
        <v>12</v>
      </c>
      <c r="E18" s="4" t="s">
        <v>35</v>
      </c>
      <c r="F18" s="20">
        <v>10448.129999999999</v>
      </c>
      <c r="G18" s="4">
        <v>2024090000</v>
      </c>
    </row>
    <row r="19" spans="2:7" x14ac:dyDescent="0.25">
      <c r="B19" s="2" t="s">
        <v>163</v>
      </c>
      <c r="C19" s="4" t="s">
        <v>65</v>
      </c>
      <c r="D19" s="4" t="s">
        <v>13</v>
      </c>
      <c r="E19" s="4" t="s">
        <v>48</v>
      </c>
      <c r="F19" s="20">
        <v>10412.5</v>
      </c>
      <c r="G19" s="4">
        <v>2024090000</v>
      </c>
    </row>
    <row r="20" spans="2:7" x14ac:dyDescent="0.25">
      <c r="B20" s="2" t="s">
        <v>110</v>
      </c>
      <c r="C20" s="4" t="s">
        <v>65</v>
      </c>
      <c r="D20" s="4">
        <v>111111</v>
      </c>
      <c r="E20" s="4" t="s">
        <v>207</v>
      </c>
      <c r="F20" s="20">
        <v>27148.625</v>
      </c>
      <c r="G20" s="4">
        <v>2024090000</v>
      </c>
    </row>
    <row r="21" spans="2:7" x14ac:dyDescent="0.25">
      <c r="B21" s="2" t="s">
        <v>111</v>
      </c>
      <c r="C21" s="4" t="s">
        <v>1</v>
      </c>
      <c r="D21" s="4">
        <v>111111</v>
      </c>
      <c r="E21" s="4" t="s">
        <v>207</v>
      </c>
      <c r="F21" s="20">
        <v>5507141.0549999997</v>
      </c>
      <c r="G21" s="4">
        <v>2041000000</v>
      </c>
    </row>
    <row r="22" spans="2:7" x14ac:dyDescent="0.25">
      <c r="B22" s="2" t="s">
        <v>112</v>
      </c>
      <c r="C22" s="4" t="s">
        <v>2</v>
      </c>
      <c r="D22" s="4">
        <v>111101</v>
      </c>
      <c r="E22" s="4" t="s">
        <v>0</v>
      </c>
      <c r="F22" s="20">
        <v>1752994.18</v>
      </c>
      <c r="G22" s="4">
        <v>2042000000</v>
      </c>
    </row>
    <row r="23" spans="2:7" x14ac:dyDescent="0.25">
      <c r="B23" s="2" t="s">
        <v>112</v>
      </c>
      <c r="C23" s="4" t="s">
        <v>67</v>
      </c>
      <c r="D23" s="4">
        <v>111101</v>
      </c>
      <c r="E23" s="4" t="s">
        <v>0</v>
      </c>
      <c r="F23" s="20">
        <v>304303.86000000004</v>
      </c>
      <c r="G23" s="4">
        <v>2042000000</v>
      </c>
    </row>
    <row r="24" spans="2:7" x14ac:dyDescent="0.25">
      <c r="B24" s="2" t="s">
        <v>113</v>
      </c>
      <c r="C24" s="4" t="s">
        <v>68</v>
      </c>
      <c r="D24" s="4">
        <v>111101</v>
      </c>
      <c r="E24" s="4" t="s">
        <v>0</v>
      </c>
      <c r="F24" s="20">
        <v>500500</v>
      </c>
      <c r="G24" s="4">
        <v>2045000000</v>
      </c>
    </row>
    <row r="25" spans="2:7" x14ac:dyDescent="0.25">
      <c r="B25" s="2" t="s">
        <v>164</v>
      </c>
      <c r="C25" s="4" t="s">
        <v>14</v>
      </c>
      <c r="D25" s="4">
        <v>111101</v>
      </c>
      <c r="E25" s="4" t="s">
        <v>0</v>
      </c>
      <c r="F25" s="20">
        <v>6919.8499999999995</v>
      </c>
      <c r="G25" s="4">
        <v>2049000000</v>
      </c>
    </row>
    <row r="26" spans="2:7" x14ac:dyDescent="0.25">
      <c r="B26" s="2" t="s">
        <v>114</v>
      </c>
      <c r="C26" s="4" t="s">
        <v>69</v>
      </c>
      <c r="D26" s="4">
        <v>111101</v>
      </c>
      <c r="E26" s="4" t="s">
        <v>0</v>
      </c>
      <c r="F26" s="20">
        <v>1897676.87</v>
      </c>
      <c r="G26" s="4">
        <v>2051210000</v>
      </c>
    </row>
    <row r="27" spans="2:7" x14ac:dyDescent="0.25">
      <c r="B27" s="2" t="s">
        <v>115</v>
      </c>
      <c r="C27" s="4" t="s">
        <v>69</v>
      </c>
      <c r="D27" s="4">
        <v>111101</v>
      </c>
      <c r="E27" s="4" t="s">
        <v>0</v>
      </c>
      <c r="F27" s="20">
        <v>146328.94499999998</v>
      </c>
      <c r="G27" s="4">
        <v>2051260000</v>
      </c>
    </row>
    <row r="28" spans="2:7" x14ac:dyDescent="0.25">
      <c r="B28" s="2" t="s">
        <v>165</v>
      </c>
      <c r="C28" s="4" t="s">
        <v>15</v>
      </c>
      <c r="D28" s="4">
        <v>111111</v>
      </c>
      <c r="E28" s="4" t="s">
        <v>207</v>
      </c>
      <c r="F28" s="20">
        <v>-121553.07499999998</v>
      </c>
      <c r="G28" s="4">
        <v>2060220000</v>
      </c>
    </row>
    <row r="29" spans="2:7" x14ac:dyDescent="0.25">
      <c r="B29" s="2" t="s">
        <v>116</v>
      </c>
      <c r="C29" s="4" t="s">
        <v>70</v>
      </c>
      <c r="D29" s="4" t="s">
        <v>3</v>
      </c>
      <c r="E29" s="4" t="s">
        <v>39</v>
      </c>
      <c r="F29" s="20">
        <v>-1643711.145</v>
      </c>
      <c r="G29" s="4">
        <v>2069010000</v>
      </c>
    </row>
    <row r="30" spans="2:7" x14ac:dyDescent="0.25">
      <c r="B30" s="2" t="s">
        <v>166</v>
      </c>
      <c r="C30" s="4" t="s">
        <v>70</v>
      </c>
      <c r="D30" s="4">
        <v>19</v>
      </c>
      <c r="E30" s="4" t="s">
        <v>40</v>
      </c>
      <c r="F30" s="20">
        <v>-416278.66</v>
      </c>
      <c r="G30" s="4">
        <v>2069010000</v>
      </c>
    </row>
    <row r="31" spans="2:7" x14ac:dyDescent="0.25">
      <c r="B31" s="2" t="s">
        <v>167</v>
      </c>
      <c r="C31" s="4" t="s">
        <v>70</v>
      </c>
      <c r="D31" s="4" t="s">
        <v>16</v>
      </c>
      <c r="E31" s="4" t="s">
        <v>50</v>
      </c>
      <c r="F31" s="20">
        <v>-364243.84499999997</v>
      </c>
      <c r="G31" s="4">
        <v>2069010000</v>
      </c>
    </row>
    <row r="32" spans="2:7" x14ac:dyDescent="0.25">
      <c r="B32" s="2" t="s">
        <v>168</v>
      </c>
      <c r="C32" s="4" t="s">
        <v>70</v>
      </c>
      <c r="D32" s="4" t="s">
        <v>10</v>
      </c>
      <c r="E32" s="4" t="s">
        <v>46</v>
      </c>
      <c r="F32" s="20">
        <v>0</v>
      </c>
      <c r="G32" s="4">
        <v>2069010000</v>
      </c>
    </row>
    <row r="33" spans="2:7" x14ac:dyDescent="0.25">
      <c r="B33" s="2" t="s">
        <v>120</v>
      </c>
      <c r="C33" s="4" t="s">
        <v>70</v>
      </c>
      <c r="D33" s="4">
        <v>1009</v>
      </c>
      <c r="E33" s="4" t="s">
        <v>34</v>
      </c>
      <c r="F33" s="20">
        <v>0</v>
      </c>
      <c r="G33" s="4">
        <v>2069010000</v>
      </c>
    </row>
    <row r="34" spans="2:7" x14ac:dyDescent="0.25">
      <c r="B34" s="2" t="s">
        <v>121</v>
      </c>
      <c r="C34" s="4" t="s">
        <v>70</v>
      </c>
      <c r="D34" s="4">
        <v>1007</v>
      </c>
      <c r="E34" s="4" t="s">
        <v>36</v>
      </c>
      <c r="F34" s="20">
        <v>0</v>
      </c>
      <c r="G34" s="4">
        <v>2069010000</v>
      </c>
    </row>
    <row r="35" spans="2:7" x14ac:dyDescent="0.25">
      <c r="B35" s="2" t="s">
        <v>122</v>
      </c>
      <c r="C35" s="4" t="s">
        <v>70</v>
      </c>
      <c r="D35" s="4">
        <v>1008</v>
      </c>
      <c r="E35" s="4" t="s">
        <v>38</v>
      </c>
      <c r="F35" s="20">
        <v>0</v>
      </c>
      <c r="G35" s="4">
        <v>2069010000</v>
      </c>
    </row>
    <row r="36" spans="2:7" x14ac:dyDescent="0.25">
      <c r="B36" s="2" t="s">
        <v>123</v>
      </c>
      <c r="C36" s="4" t="s">
        <v>70</v>
      </c>
      <c r="D36" s="4">
        <v>1240</v>
      </c>
      <c r="E36" s="4" t="s">
        <v>43</v>
      </c>
      <c r="F36" s="20">
        <v>-10461.36</v>
      </c>
      <c r="G36" s="4">
        <v>2069010000</v>
      </c>
    </row>
    <row r="37" spans="2:7" x14ac:dyDescent="0.25">
      <c r="B37" s="2" t="s">
        <v>121</v>
      </c>
      <c r="C37" s="4" t="s">
        <v>70</v>
      </c>
      <c r="D37" s="4">
        <v>1007</v>
      </c>
      <c r="E37" s="4" t="s">
        <v>37</v>
      </c>
      <c r="F37" s="20">
        <v>0</v>
      </c>
      <c r="G37" s="4">
        <v>2069010000</v>
      </c>
    </row>
    <row r="38" spans="2:7" x14ac:dyDescent="0.25">
      <c r="B38" s="2" t="s">
        <v>169</v>
      </c>
      <c r="C38" s="4" t="s">
        <v>70</v>
      </c>
      <c r="D38" s="4" t="s">
        <v>17</v>
      </c>
      <c r="E38" s="4" t="s">
        <v>51</v>
      </c>
      <c r="F38" s="20">
        <v>-482611.04499999998</v>
      </c>
      <c r="G38" s="4">
        <v>2069010000</v>
      </c>
    </row>
    <row r="39" spans="2:7" x14ac:dyDescent="0.25">
      <c r="B39" s="2" t="s">
        <v>124</v>
      </c>
      <c r="C39" s="4" t="s">
        <v>70</v>
      </c>
      <c r="D39" s="4">
        <v>111111</v>
      </c>
      <c r="E39" s="4" t="s">
        <v>207</v>
      </c>
      <c r="F39" s="20">
        <v>-6785.94</v>
      </c>
      <c r="G39" s="4">
        <v>2069010000</v>
      </c>
    </row>
    <row r="40" spans="2:7" x14ac:dyDescent="0.25">
      <c r="B40" s="2" t="s">
        <v>170</v>
      </c>
      <c r="C40" s="4" t="s">
        <v>71</v>
      </c>
      <c r="D40" s="4">
        <v>88</v>
      </c>
      <c r="E40" s="4" t="s">
        <v>31</v>
      </c>
      <c r="F40" s="20">
        <v>-2436.35</v>
      </c>
      <c r="G40" s="4">
        <v>2069980000</v>
      </c>
    </row>
    <row r="41" spans="2:7" x14ac:dyDescent="0.25">
      <c r="B41" s="2" t="s">
        <v>125</v>
      </c>
      <c r="C41" s="4" t="s">
        <v>71</v>
      </c>
      <c r="D41" s="4">
        <v>111111</v>
      </c>
      <c r="E41" s="4" t="s">
        <v>207</v>
      </c>
      <c r="F41" s="20">
        <v>9793.84</v>
      </c>
      <c r="G41" s="4">
        <v>2069980000</v>
      </c>
    </row>
    <row r="42" spans="2:7" x14ac:dyDescent="0.25">
      <c r="B42" s="2" t="s">
        <v>171</v>
      </c>
      <c r="C42" s="4" t="s">
        <v>18</v>
      </c>
      <c r="D42" s="4">
        <v>111101</v>
      </c>
      <c r="E42" s="4" t="s">
        <v>0</v>
      </c>
      <c r="F42" s="20">
        <v>81.339999999999989</v>
      </c>
      <c r="G42" s="4">
        <v>2070290000</v>
      </c>
    </row>
    <row r="43" spans="2:7" x14ac:dyDescent="0.25">
      <c r="B43" s="2" t="s">
        <v>126</v>
      </c>
      <c r="C43" s="4" t="s">
        <v>72</v>
      </c>
      <c r="D43" s="4">
        <v>111111</v>
      </c>
      <c r="E43" s="4" t="s">
        <v>207</v>
      </c>
      <c r="F43" s="20">
        <v>65947.7</v>
      </c>
      <c r="G43" s="4">
        <v>2070400000</v>
      </c>
    </row>
    <row r="44" spans="2:7" x14ac:dyDescent="0.25">
      <c r="B44" s="2" t="s">
        <v>128</v>
      </c>
      <c r="C44" s="4" t="s">
        <v>73</v>
      </c>
      <c r="D44" s="4">
        <v>111111</v>
      </c>
      <c r="E44" s="4" t="s">
        <v>207</v>
      </c>
      <c r="F44" s="20">
        <v>5138.91</v>
      </c>
      <c r="G44" s="4">
        <v>2070500000</v>
      </c>
    </row>
    <row r="45" spans="2:7" x14ac:dyDescent="0.25">
      <c r="B45" s="2" t="s">
        <v>129</v>
      </c>
      <c r="C45" s="4" t="s">
        <v>74</v>
      </c>
      <c r="D45" s="4">
        <v>111111</v>
      </c>
      <c r="E45" s="4" t="s">
        <v>207</v>
      </c>
      <c r="F45" s="20">
        <v>1055381.4750000001</v>
      </c>
      <c r="G45" s="4">
        <v>2070600000</v>
      </c>
    </row>
    <row r="46" spans="2:7" x14ac:dyDescent="0.25">
      <c r="B46" s="2" t="s">
        <v>131</v>
      </c>
      <c r="C46" s="4" t="s">
        <v>75</v>
      </c>
      <c r="D46" s="4" t="s">
        <v>6</v>
      </c>
      <c r="E46" s="4" t="s">
        <v>42</v>
      </c>
      <c r="F46" s="20">
        <v>430845.34499999997</v>
      </c>
      <c r="G46" s="4">
        <v>2070900000</v>
      </c>
    </row>
    <row r="47" spans="2:7" x14ac:dyDescent="0.25">
      <c r="B47" s="2" t="s">
        <v>172</v>
      </c>
      <c r="C47" s="4" t="s">
        <v>75</v>
      </c>
      <c r="D47" s="4">
        <v>105</v>
      </c>
      <c r="E47" s="4" t="s">
        <v>32</v>
      </c>
      <c r="F47" s="20">
        <v>276920</v>
      </c>
      <c r="G47" s="4">
        <v>2070900000</v>
      </c>
    </row>
    <row r="48" spans="2:7" x14ac:dyDescent="0.25">
      <c r="B48" s="2" t="s">
        <v>132</v>
      </c>
      <c r="C48" s="4" t="s">
        <v>75</v>
      </c>
      <c r="D48" s="4">
        <v>111111</v>
      </c>
      <c r="E48" s="4" t="s">
        <v>207</v>
      </c>
      <c r="F48" s="20">
        <v>1130021</v>
      </c>
      <c r="G48" s="4">
        <v>2070900000</v>
      </c>
    </row>
    <row r="49" spans="2:7" x14ac:dyDescent="0.25">
      <c r="B49" s="2" t="s">
        <v>133</v>
      </c>
      <c r="C49" s="4" t="s">
        <v>7</v>
      </c>
      <c r="D49" s="4">
        <v>111111</v>
      </c>
      <c r="E49" s="4" t="s">
        <v>207</v>
      </c>
      <c r="F49" s="20">
        <v>7293.5450000000001</v>
      </c>
      <c r="G49" s="4">
        <v>2071000000</v>
      </c>
    </row>
    <row r="50" spans="2:7" x14ac:dyDescent="0.25">
      <c r="B50" s="2" t="s">
        <v>173</v>
      </c>
      <c r="C50" s="4" t="s">
        <v>76</v>
      </c>
      <c r="D50" s="4">
        <v>1900</v>
      </c>
      <c r="E50" s="4" t="s">
        <v>52</v>
      </c>
      <c r="F50" s="20">
        <v>0</v>
      </c>
      <c r="G50" s="4">
        <v>2071100000</v>
      </c>
    </row>
    <row r="51" spans="2:7" x14ac:dyDescent="0.25">
      <c r="B51" s="2" t="s">
        <v>134</v>
      </c>
      <c r="C51" s="4" t="s">
        <v>76</v>
      </c>
      <c r="D51" s="4">
        <v>111111</v>
      </c>
      <c r="E51" s="4" t="s">
        <v>207</v>
      </c>
      <c r="F51" s="20">
        <v>48468.665000000001</v>
      </c>
      <c r="G51" s="4">
        <v>2071100000</v>
      </c>
    </row>
    <row r="52" spans="2:7" x14ac:dyDescent="0.25">
      <c r="B52" s="2" t="s">
        <v>174</v>
      </c>
      <c r="C52" s="4" t="s">
        <v>8</v>
      </c>
      <c r="D52" s="4" t="s">
        <v>19</v>
      </c>
      <c r="E52" s="4" t="s">
        <v>54</v>
      </c>
      <c r="F52" s="20">
        <v>23928.799999999999</v>
      </c>
      <c r="G52" s="4">
        <v>2071209200</v>
      </c>
    </row>
    <row r="53" spans="2:7" x14ac:dyDescent="0.25">
      <c r="B53" s="2" t="s">
        <v>135</v>
      </c>
      <c r="C53" s="4" t="s">
        <v>8</v>
      </c>
      <c r="D53" s="4">
        <v>111111</v>
      </c>
      <c r="E53" s="4" t="s">
        <v>207</v>
      </c>
      <c r="F53" s="20">
        <v>2393259.19</v>
      </c>
      <c r="G53" s="4">
        <v>2071209200</v>
      </c>
    </row>
    <row r="54" spans="2:7" x14ac:dyDescent="0.25">
      <c r="B54" s="2" t="s">
        <v>136</v>
      </c>
      <c r="C54" s="4" t="s">
        <v>77</v>
      </c>
      <c r="D54" s="4">
        <v>111111</v>
      </c>
      <c r="E54" s="4" t="s">
        <v>207</v>
      </c>
      <c r="F54" s="20">
        <v>23069.654999999999</v>
      </c>
      <c r="G54" s="4">
        <v>2071209400</v>
      </c>
    </row>
    <row r="55" spans="2:7" x14ac:dyDescent="0.25">
      <c r="B55" s="2" t="s">
        <v>137</v>
      </c>
      <c r="C55" s="4" t="s">
        <v>78</v>
      </c>
      <c r="D55" s="4">
        <v>111111</v>
      </c>
      <c r="E55" s="4" t="s">
        <v>207</v>
      </c>
      <c r="F55" s="20">
        <v>208366.935</v>
      </c>
      <c r="G55" s="4">
        <v>2071209500</v>
      </c>
    </row>
    <row r="56" spans="2:7" x14ac:dyDescent="0.25">
      <c r="B56" s="2" t="s">
        <v>175</v>
      </c>
      <c r="C56" s="4" t="s">
        <v>20</v>
      </c>
      <c r="D56" s="4">
        <v>111111</v>
      </c>
      <c r="E56" s="4" t="s">
        <v>207</v>
      </c>
      <c r="F56" s="20">
        <v>308232</v>
      </c>
      <c r="G56" s="4">
        <v>2071220000</v>
      </c>
    </row>
    <row r="57" spans="2:7" x14ac:dyDescent="0.25">
      <c r="B57" s="2" t="s">
        <v>176</v>
      </c>
      <c r="C57" s="4" t="s">
        <v>21</v>
      </c>
      <c r="D57" s="4">
        <v>19</v>
      </c>
      <c r="E57" s="4" t="s">
        <v>40</v>
      </c>
      <c r="F57" s="20">
        <v>13422.779999999999</v>
      </c>
      <c r="G57" s="4">
        <v>2071511000</v>
      </c>
    </row>
    <row r="58" spans="2:7" x14ac:dyDescent="0.25">
      <c r="B58" s="2" t="s">
        <v>177</v>
      </c>
      <c r="C58" s="4" t="s">
        <v>21</v>
      </c>
      <c r="D58" s="4">
        <v>111111</v>
      </c>
      <c r="E58" s="4" t="s">
        <v>207</v>
      </c>
      <c r="F58" s="20">
        <v>4045.6150000000002</v>
      </c>
      <c r="G58" s="4">
        <v>2071511000</v>
      </c>
    </row>
    <row r="59" spans="2:7" x14ac:dyDescent="0.25">
      <c r="B59" s="2" t="s">
        <v>178</v>
      </c>
      <c r="C59" s="4" t="s">
        <v>22</v>
      </c>
      <c r="D59" s="4">
        <v>111111</v>
      </c>
      <c r="E59" s="4" t="s">
        <v>207</v>
      </c>
      <c r="F59" s="20">
        <v>49621.144999999997</v>
      </c>
      <c r="G59" s="4">
        <v>2071910000</v>
      </c>
    </row>
    <row r="60" spans="2:7" x14ac:dyDescent="0.25">
      <c r="B60" s="2" t="s">
        <v>138</v>
      </c>
      <c r="C60" s="4" t="s">
        <v>79</v>
      </c>
      <c r="D60" s="4">
        <v>111101</v>
      </c>
      <c r="E60" s="4" t="s">
        <v>0</v>
      </c>
      <c r="F60" s="20">
        <v>20323.309999999998</v>
      </c>
      <c r="G60" s="4">
        <v>2071980000</v>
      </c>
    </row>
    <row r="61" spans="2:7" x14ac:dyDescent="0.25">
      <c r="B61" s="2" t="s">
        <v>139</v>
      </c>
      <c r="C61" s="4" t="s">
        <v>80</v>
      </c>
      <c r="D61" s="4">
        <v>111111</v>
      </c>
      <c r="E61" s="4" t="s">
        <v>207</v>
      </c>
      <c r="F61" s="20">
        <v>169489</v>
      </c>
      <c r="G61" s="4">
        <v>2079022000</v>
      </c>
    </row>
    <row r="62" spans="2:7" x14ac:dyDescent="0.25">
      <c r="B62" s="2" t="s">
        <v>179</v>
      </c>
      <c r="C62" s="4" t="s">
        <v>81</v>
      </c>
      <c r="D62" s="4">
        <v>19</v>
      </c>
      <c r="E62" s="4" t="s">
        <v>40</v>
      </c>
      <c r="F62" s="20">
        <v>85462.684999999998</v>
      </c>
      <c r="G62" s="4">
        <v>2079070000</v>
      </c>
    </row>
    <row r="63" spans="2:7" x14ac:dyDescent="0.25">
      <c r="B63" s="2" t="s">
        <v>180</v>
      </c>
      <c r="C63" s="4" t="s">
        <v>81</v>
      </c>
      <c r="D63" s="4" t="s">
        <v>5</v>
      </c>
      <c r="E63" s="4" t="s">
        <v>41</v>
      </c>
      <c r="F63" s="20">
        <v>11422.144999999999</v>
      </c>
      <c r="G63" s="4">
        <v>2079070000</v>
      </c>
    </row>
    <row r="64" spans="2:7" x14ac:dyDescent="0.25">
      <c r="B64" s="2" t="s">
        <v>181</v>
      </c>
      <c r="C64" s="4" t="s">
        <v>81</v>
      </c>
      <c r="D64" s="4" t="s">
        <v>12</v>
      </c>
      <c r="E64" s="4" t="s">
        <v>35</v>
      </c>
      <c r="F64" s="20">
        <v>84438.864999999991</v>
      </c>
      <c r="G64" s="4">
        <v>2079070000</v>
      </c>
    </row>
    <row r="65" spans="2:7" x14ac:dyDescent="0.25">
      <c r="B65" s="2" t="s">
        <v>141</v>
      </c>
      <c r="C65" s="4" t="s">
        <v>81</v>
      </c>
      <c r="D65" s="4">
        <v>111111</v>
      </c>
      <c r="E65" s="4" t="s">
        <v>207</v>
      </c>
      <c r="F65" s="20">
        <v>638869.13</v>
      </c>
      <c r="G65" s="4">
        <v>2079070000</v>
      </c>
    </row>
    <row r="66" spans="2:7" x14ac:dyDescent="0.25">
      <c r="B66" s="2" t="s">
        <v>182</v>
      </c>
      <c r="C66" s="4" t="s">
        <v>82</v>
      </c>
      <c r="D66" s="4" t="s">
        <v>10</v>
      </c>
      <c r="E66" s="4" t="s">
        <v>46</v>
      </c>
      <c r="F66" s="20">
        <v>0</v>
      </c>
      <c r="G66" s="4">
        <v>2079080000</v>
      </c>
    </row>
    <row r="67" spans="2:7" x14ac:dyDescent="0.25">
      <c r="B67" s="2" t="s">
        <v>143</v>
      </c>
      <c r="C67" s="4" t="s">
        <v>82</v>
      </c>
      <c r="D67" s="4">
        <v>1007</v>
      </c>
      <c r="E67" s="4" t="s">
        <v>36</v>
      </c>
      <c r="F67" s="20">
        <v>0</v>
      </c>
      <c r="G67" s="4">
        <v>2079080000</v>
      </c>
    </row>
    <row r="68" spans="2:7" x14ac:dyDescent="0.25">
      <c r="B68" s="2" t="s">
        <v>144</v>
      </c>
      <c r="C68" s="4" t="s">
        <v>82</v>
      </c>
      <c r="D68" s="4">
        <v>1008</v>
      </c>
      <c r="E68" s="4" t="s">
        <v>38</v>
      </c>
      <c r="F68" s="20">
        <v>0</v>
      </c>
      <c r="G68" s="4">
        <v>2079080000</v>
      </c>
    </row>
    <row r="69" spans="2:7" x14ac:dyDescent="0.25">
      <c r="B69" s="2" t="s">
        <v>183</v>
      </c>
      <c r="C69" s="4" t="s">
        <v>83</v>
      </c>
      <c r="D69" s="4" t="s">
        <v>10</v>
      </c>
      <c r="E69" s="4" t="s">
        <v>46</v>
      </c>
      <c r="F69" s="20">
        <v>0</v>
      </c>
      <c r="G69" s="4">
        <v>2082280000</v>
      </c>
    </row>
    <row r="70" spans="2:7" x14ac:dyDescent="0.25">
      <c r="B70" s="2" t="s">
        <v>145</v>
      </c>
      <c r="C70" s="4" t="s">
        <v>83</v>
      </c>
      <c r="D70" s="4">
        <v>1009</v>
      </c>
      <c r="E70" s="4" t="s">
        <v>34</v>
      </c>
      <c r="F70" s="20">
        <v>0</v>
      </c>
      <c r="G70" s="4">
        <v>2082280000</v>
      </c>
    </row>
    <row r="71" spans="2:7" x14ac:dyDescent="0.25">
      <c r="B71" s="2" t="s">
        <v>146</v>
      </c>
      <c r="C71" s="4" t="s">
        <v>83</v>
      </c>
      <c r="D71" s="4">
        <v>1007</v>
      </c>
      <c r="E71" s="4" t="s">
        <v>36</v>
      </c>
      <c r="F71" s="20">
        <v>0</v>
      </c>
      <c r="G71" s="4">
        <v>2082280000</v>
      </c>
    </row>
    <row r="72" spans="2:7" x14ac:dyDescent="0.25">
      <c r="B72" s="2" t="s">
        <v>147</v>
      </c>
      <c r="C72" s="4" t="s">
        <v>83</v>
      </c>
      <c r="D72" s="4">
        <v>1008</v>
      </c>
      <c r="E72" s="4" t="s">
        <v>38</v>
      </c>
      <c r="F72" s="20">
        <v>0</v>
      </c>
      <c r="G72" s="4">
        <v>2082280000</v>
      </c>
    </row>
    <row r="73" spans="2:7" x14ac:dyDescent="0.25">
      <c r="B73" s="2" t="s">
        <v>148</v>
      </c>
      <c r="C73" s="4" t="s">
        <v>83</v>
      </c>
      <c r="D73" s="4">
        <v>1240</v>
      </c>
      <c r="E73" s="4" t="s">
        <v>43</v>
      </c>
      <c r="F73" s="20">
        <v>-34224.959999999999</v>
      </c>
      <c r="G73" s="4">
        <v>2082280000</v>
      </c>
    </row>
    <row r="74" spans="2:7" x14ac:dyDescent="0.25">
      <c r="B74" s="2" t="s">
        <v>184</v>
      </c>
      <c r="C74" s="4" t="s">
        <v>83</v>
      </c>
      <c r="D74" s="4">
        <v>1006</v>
      </c>
      <c r="E74" s="4" t="s">
        <v>53</v>
      </c>
      <c r="F74" s="20">
        <v>-6778.415</v>
      </c>
      <c r="G74" s="4">
        <v>2082280000</v>
      </c>
    </row>
    <row r="75" spans="2:7" x14ac:dyDescent="0.25">
      <c r="B75" s="2" t="s">
        <v>146</v>
      </c>
      <c r="C75" s="4" t="s">
        <v>83</v>
      </c>
      <c r="D75" s="4">
        <v>1007</v>
      </c>
      <c r="E75" s="4" t="s">
        <v>37</v>
      </c>
      <c r="F75" s="20">
        <v>0</v>
      </c>
      <c r="G75" s="4">
        <v>2082280000</v>
      </c>
    </row>
    <row r="76" spans="2:7" x14ac:dyDescent="0.25">
      <c r="B76" s="2" t="s">
        <v>149</v>
      </c>
      <c r="C76" s="4" t="s">
        <v>83</v>
      </c>
      <c r="D76" s="4">
        <v>111111</v>
      </c>
      <c r="E76" s="4" t="s">
        <v>207</v>
      </c>
      <c r="F76" s="20">
        <v>-2204.7199999999998</v>
      </c>
      <c r="G76" s="4">
        <v>2082280000</v>
      </c>
    </row>
    <row r="77" spans="2:7" x14ac:dyDescent="0.25">
      <c r="B77" s="2" t="s">
        <v>151</v>
      </c>
      <c r="C77" s="4" t="s">
        <v>84</v>
      </c>
      <c r="D77" s="4">
        <v>111101</v>
      </c>
      <c r="E77" s="4" t="s">
        <v>0</v>
      </c>
      <c r="F77" s="20">
        <v>80617.179999999993</v>
      </c>
      <c r="G77" s="4">
        <v>2082208200</v>
      </c>
    </row>
    <row r="78" spans="2:7" x14ac:dyDescent="0.25">
      <c r="B78" s="2" t="s">
        <v>152</v>
      </c>
      <c r="C78" s="4" t="s">
        <v>85</v>
      </c>
      <c r="D78" s="4">
        <v>88</v>
      </c>
      <c r="E78" s="4" t="s">
        <v>31</v>
      </c>
      <c r="F78" s="20">
        <v>2752704.22</v>
      </c>
      <c r="G78" s="4">
        <v>2082214000</v>
      </c>
    </row>
    <row r="79" spans="2:7" x14ac:dyDescent="0.25">
      <c r="B79" s="2" t="s">
        <v>185</v>
      </c>
      <c r="C79" s="4" t="s">
        <v>85</v>
      </c>
      <c r="D79" s="4">
        <v>1007</v>
      </c>
      <c r="E79" s="4" t="s">
        <v>37</v>
      </c>
      <c r="F79" s="20">
        <v>0</v>
      </c>
      <c r="G79" s="4">
        <v>2082214000</v>
      </c>
    </row>
    <row r="80" spans="2:7" x14ac:dyDescent="0.25">
      <c r="B80" s="2" t="s">
        <v>186</v>
      </c>
      <c r="C80" s="4" t="s">
        <v>85</v>
      </c>
      <c r="D80" s="4">
        <v>111111</v>
      </c>
      <c r="E80" s="4" t="s">
        <v>207</v>
      </c>
      <c r="F80" s="20">
        <v>1250.7950000000001</v>
      </c>
      <c r="G80" s="4">
        <v>2082214000</v>
      </c>
    </row>
    <row r="81" spans="2:7" x14ac:dyDescent="0.25">
      <c r="B81" s="2" t="s">
        <v>187</v>
      </c>
      <c r="C81" s="4" t="s">
        <v>209</v>
      </c>
      <c r="D81" s="4">
        <v>1240</v>
      </c>
      <c r="E81" s="4" t="s">
        <v>43</v>
      </c>
      <c r="F81" s="20">
        <v>4130000</v>
      </c>
      <c r="G81" s="4">
        <v>2082110000</v>
      </c>
    </row>
    <row r="82" spans="2:7" x14ac:dyDescent="0.25">
      <c r="B82" s="2" t="s">
        <v>153</v>
      </c>
      <c r="C82" s="4" t="s">
        <v>86</v>
      </c>
      <c r="D82" s="4">
        <v>111101</v>
      </c>
      <c r="E82" s="4" t="s">
        <v>0</v>
      </c>
      <c r="F82" s="20">
        <v>496748.70000000007</v>
      </c>
      <c r="G82" s="4">
        <v>2091200000</v>
      </c>
    </row>
    <row r="83" spans="2:7" x14ac:dyDescent="0.25">
      <c r="B83" s="2" t="s">
        <v>154</v>
      </c>
      <c r="C83" s="4" t="s">
        <v>87</v>
      </c>
      <c r="D83" s="4">
        <v>111101</v>
      </c>
      <c r="E83" s="4" t="s">
        <v>0</v>
      </c>
      <c r="F83" s="20">
        <v>480872.96000000002</v>
      </c>
      <c r="G83" s="4">
        <v>2091200001</v>
      </c>
    </row>
    <row r="84" spans="2:7" x14ac:dyDescent="0.25">
      <c r="B84" s="2" t="s">
        <v>188</v>
      </c>
      <c r="C84" s="4" t="s">
        <v>23</v>
      </c>
      <c r="D84" s="4">
        <v>111101</v>
      </c>
      <c r="E84" s="4" t="s">
        <v>0</v>
      </c>
      <c r="F84" s="20">
        <v>0</v>
      </c>
      <c r="G84" s="4">
        <v>2091900000</v>
      </c>
    </row>
    <row r="85" spans="2:7" x14ac:dyDescent="0.25">
      <c r="B85" s="2" t="s">
        <v>155</v>
      </c>
      <c r="C85" s="4" t="s">
        <v>88</v>
      </c>
      <c r="D85" s="4">
        <v>111101</v>
      </c>
      <c r="E85" s="4" t="s">
        <v>0</v>
      </c>
      <c r="F85" s="20">
        <v>6570.3050000000003</v>
      </c>
      <c r="G85" s="4">
        <v>2092200000</v>
      </c>
    </row>
    <row r="86" spans="2:7" x14ac:dyDescent="0.25">
      <c r="B86" s="18" t="s">
        <v>189</v>
      </c>
      <c r="C86" s="19" t="s">
        <v>61</v>
      </c>
      <c r="D86" s="19">
        <v>111101</v>
      </c>
      <c r="E86" s="19" t="s">
        <v>0</v>
      </c>
      <c r="F86" s="21">
        <v>6073808.1600000001</v>
      </c>
      <c r="G86" s="19">
        <v>2111111999</v>
      </c>
    </row>
  </sheetData>
  <autoFilter ref="C4:H8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78"/>
  <sheetViews>
    <sheetView workbookViewId="0">
      <selection activeCell="B1" sqref="B1"/>
    </sheetView>
  </sheetViews>
  <sheetFormatPr defaultColWidth="9.1796875" defaultRowHeight="11.5" x14ac:dyDescent="0.25"/>
  <cols>
    <col min="1" max="1" width="2" style="2" customWidth="1"/>
    <col min="2" max="3" width="17.26953125" style="2" bestFit="1" customWidth="1"/>
    <col min="4" max="4" width="20.54296875" style="2" customWidth="1"/>
    <col min="5" max="5" width="21.1796875" style="2" bestFit="1" customWidth="1"/>
    <col min="6" max="6" width="19.26953125" style="2" customWidth="1"/>
    <col min="7" max="7" width="13.1796875" style="2" bestFit="1" customWidth="1"/>
    <col min="8" max="8" width="12" style="2" bestFit="1" customWidth="1"/>
    <col min="9" max="9" width="17.26953125" style="2" bestFit="1" customWidth="1"/>
    <col min="10" max="16384" width="9.1796875" style="2"/>
  </cols>
  <sheetData>
    <row r="1" spans="2:7" ht="15.5" x14ac:dyDescent="0.35">
      <c r="B1" s="3" t="s">
        <v>252</v>
      </c>
    </row>
    <row r="4" spans="2:7" x14ac:dyDescent="0.25">
      <c r="B4" s="2" t="s">
        <v>99</v>
      </c>
      <c r="C4" s="4" t="s">
        <v>204</v>
      </c>
      <c r="D4" s="4" t="s">
        <v>30</v>
      </c>
      <c r="E4" s="4" t="s">
        <v>205</v>
      </c>
      <c r="F4" s="22" t="s">
        <v>206</v>
      </c>
      <c r="G4" s="4" t="s">
        <v>210</v>
      </c>
    </row>
    <row r="5" spans="2:7" x14ac:dyDescent="0.25">
      <c r="B5" s="2" t="s">
        <v>157</v>
      </c>
      <c r="C5" s="4" t="s">
        <v>62</v>
      </c>
      <c r="D5" s="4">
        <v>105</v>
      </c>
      <c r="E5" s="4" t="s">
        <v>32</v>
      </c>
      <c r="F5" s="23">
        <v>-616462.01899999997</v>
      </c>
      <c r="G5" s="4">
        <v>2001110000</v>
      </c>
    </row>
    <row r="6" spans="2:7" x14ac:dyDescent="0.25">
      <c r="B6" s="2" t="s">
        <v>101</v>
      </c>
      <c r="C6" s="2" t="s">
        <v>62</v>
      </c>
      <c r="D6" s="4">
        <v>111111</v>
      </c>
      <c r="E6" s="2" t="s">
        <v>207</v>
      </c>
      <c r="F6" s="17">
        <v>-14431341</v>
      </c>
      <c r="G6" s="4">
        <v>2001110000</v>
      </c>
    </row>
    <row r="7" spans="2:7" x14ac:dyDescent="0.25">
      <c r="B7" s="2" t="s">
        <v>102</v>
      </c>
      <c r="C7" s="4" t="s">
        <v>63</v>
      </c>
      <c r="D7" s="4">
        <v>111111</v>
      </c>
      <c r="E7" s="4" t="s">
        <v>207</v>
      </c>
      <c r="F7" s="20">
        <v>-6373617.5140000004</v>
      </c>
      <c r="G7" s="4">
        <v>2001190000</v>
      </c>
    </row>
    <row r="8" spans="2:7" x14ac:dyDescent="0.25">
      <c r="B8" s="2" t="s">
        <v>159</v>
      </c>
      <c r="C8" s="4" t="s">
        <v>211</v>
      </c>
      <c r="D8" s="4">
        <v>111111</v>
      </c>
      <c r="E8" s="4" t="s">
        <v>207</v>
      </c>
      <c r="F8" s="20">
        <v>20504.509999999998</v>
      </c>
      <c r="G8" s="4">
        <v>2021210000</v>
      </c>
    </row>
    <row r="9" spans="2:7" x14ac:dyDescent="0.25">
      <c r="B9" s="2" t="s">
        <v>107</v>
      </c>
      <c r="C9" s="4" t="s">
        <v>224</v>
      </c>
      <c r="D9" s="4">
        <v>111111</v>
      </c>
      <c r="E9" s="4" t="s">
        <v>207</v>
      </c>
      <c r="F9" s="20">
        <v>5674152.0669999998</v>
      </c>
      <c r="G9" s="4">
        <v>2021900000</v>
      </c>
    </row>
    <row r="10" spans="2:7" x14ac:dyDescent="0.25">
      <c r="B10" s="2" t="s">
        <v>190</v>
      </c>
      <c r="C10" s="4" t="s">
        <v>24</v>
      </c>
      <c r="D10" s="4">
        <v>111111</v>
      </c>
      <c r="E10" s="4" t="s">
        <v>207</v>
      </c>
      <c r="F10" s="20">
        <v>13691.949999999999</v>
      </c>
      <c r="G10" s="4">
        <v>2024020000</v>
      </c>
    </row>
    <row r="11" spans="2:7" x14ac:dyDescent="0.25">
      <c r="B11" s="2" t="s">
        <v>108</v>
      </c>
      <c r="C11" s="4" t="s">
        <v>66</v>
      </c>
      <c r="D11" s="4">
        <v>111111</v>
      </c>
      <c r="E11" s="4" t="s">
        <v>207</v>
      </c>
      <c r="F11" s="20">
        <v>350370.99399999995</v>
      </c>
      <c r="G11" s="4">
        <v>2024080000</v>
      </c>
    </row>
    <row r="12" spans="2:7" x14ac:dyDescent="0.25">
      <c r="B12" s="2" t="s">
        <v>109</v>
      </c>
      <c r="C12" s="4" t="s">
        <v>65</v>
      </c>
      <c r="D12" s="4">
        <v>88</v>
      </c>
      <c r="E12" s="4" t="s">
        <v>31</v>
      </c>
      <c r="F12" s="20">
        <v>3116017.1540000001</v>
      </c>
      <c r="G12" s="4">
        <v>2024090000</v>
      </c>
    </row>
    <row r="13" spans="2:7" x14ac:dyDescent="0.25">
      <c r="B13" s="2" t="s">
        <v>161</v>
      </c>
      <c r="C13" s="4" t="s">
        <v>65</v>
      </c>
      <c r="D13" s="4" t="s">
        <v>11</v>
      </c>
      <c r="E13" s="4" t="s">
        <v>33</v>
      </c>
      <c r="F13" s="20">
        <v>0</v>
      </c>
      <c r="G13" s="4">
        <v>2024090000</v>
      </c>
    </row>
    <row r="14" spans="2:7" x14ac:dyDescent="0.25">
      <c r="B14" s="2" t="s">
        <v>162</v>
      </c>
      <c r="C14" s="4" t="s">
        <v>65</v>
      </c>
      <c r="D14" s="4" t="s">
        <v>12</v>
      </c>
      <c r="E14" s="4" t="s">
        <v>35</v>
      </c>
      <c r="F14" s="20">
        <v>673.34299999999985</v>
      </c>
      <c r="G14" s="4">
        <v>2024090000</v>
      </c>
    </row>
    <row r="15" spans="2:7" x14ac:dyDescent="0.25">
      <c r="B15" s="2" t="s">
        <v>191</v>
      </c>
      <c r="C15" s="4" t="s">
        <v>65</v>
      </c>
      <c r="D15" s="4" t="s">
        <v>25</v>
      </c>
      <c r="E15" s="4" t="s">
        <v>47</v>
      </c>
      <c r="F15" s="20">
        <v>192017.14499999996</v>
      </c>
      <c r="G15" s="4">
        <v>2024090000</v>
      </c>
    </row>
    <row r="16" spans="2:7" x14ac:dyDescent="0.25">
      <c r="B16" s="2" t="s">
        <v>192</v>
      </c>
      <c r="C16" s="4" t="s">
        <v>65</v>
      </c>
      <c r="D16" s="4" t="s">
        <v>6</v>
      </c>
      <c r="E16" s="4" t="s">
        <v>42</v>
      </c>
      <c r="F16" s="20">
        <v>375290.46599999996</v>
      </c>
      <c r="G16" s="4">
        <v>2024090000</v>
      </c>
    </row>
    <row r="17" spans="2:7" x14ac:dyDescent="0.25">
      <c r="B17" s="2" t="s">
        <v>193</v>
      </c>
      <c r="C17" s="4" t="s">
        <v>65</v>
      </c>
      <c r="D17" s="4">
        <v>17000</v>
      </c>
      <c r="E17" s="4" t="s">
        <v>49</v>
      </c>
      <c r="F17" s="20">
        <v>4920</v>
      </c>
      <c r="G17" s="4">
        <v>2024090000</v>
      </c>
    </row>
    <row r="18" spans="2:7" x14ac:dyDescent="0.25">
      <c r="B18" s="2" t="s">
        <v>110</v>
      </c>
      <c r="C18" s="4" t="s">
        <v>65</v>
      </c>
      <c r="D18" s="4">
        <v>111111</v>
      </c>
      <c r="E18" s="4" t="s">
        <v>207</v>
      </c>
      <c r="F18" s="20">
        <v>9783.7069999999985</v>
      </c>
      <c r="G18" s="4">
        <v>2024090000</v>
      </c>
    </row>
    <row r="19" spans="2:7" x14ac:dyDescent="0.25">
      <c r="B19" s="2" t="s">
        <v>111</v>
      </c>
      <c r="C19" s="4" t="s">
        <v>1</v>
      </c>
      <c r="D19" s="4">
        <v>111111</v>
      </c>
      <c r="E19" s="4" t="s">
        <v>207</v>
      </c>
      <c r="F19" s="20">
        <v>3982699.5329999998</v>
      </c>
      <c r="G19" s="4">
        <v>2041000000</v>
      </c>
    </row>
    <row r="20" spans="2:7" x14ac:dyDescent="0.25">
      <c r="B20" s="2" t="s">
        <v>112</v>
      </c>
      <c r="C20" s="4" t="s">
        <v>2</v>
      </c>
      <c r="D20" s="4">
        <v>111101</v>
      </c>
      <c r="E20" s="4" t="s">
        <v>0</v>
      </c>
      <c r="F20" s="20">
        <v>1420796.8209999998</v>
      </c>
      <c r="G20" s="4">
        <v>2042000000</v>
      </c>
    </row>
    <row r="21" spans="2:7" x14ac:dyDescent="0.25">
      <c r="B21" s="2" t="s">
        <v>112</v>
      </c>
      <c r="C21" s="4" t="s">
        <v>67</v>
      </c>
      <c r="D21" s="4">
        <v>111101</v>
      </c>
      <c r="E21" s="4" t="s">
        <v>0</v>
      </c>
      <c r="F21" s="20">
        <v>288891.82199999999</v>
      </c>
      <c r="G21" s="4">
        <v>2042000000</v>
      </c>
    </row>
    <row r="22" spans="2:7" x14ac:dyDescent="0.25">
      <c r="B22" s="2" t="s">
        <v>113</v>
      </c>
      <c r="C22" s="4" t="s">
        <v>68</v>
      </c>
      <c r="D22" s="4">
        <v>111101</v>
      </c>
      <c r="E22" s="4" t="s">
        <v>0</v>
      </c>
      <c r="F22" s="20">
        <v>143500</v>
      </c>
      <c r="G22" s="4">
        <v>2045000000</v>
      </c>
    </row>
    <row r="23" spans="2:7" x14ac:dyDescent="0.25">
      <c r="B23" s="2" t="s">
        <v>114</v>
      </c>
      <c r="C23" s="4" t="s">
        <v>69</v>
      </c>
      <c r="D23" s="4">
        <v>111101</v>
      </c>
      <c r="E23" s="4" t="s">
        <v>0</v>
      </c>
      <c r="F23" s="20">
        <v>1875768.159</v>
      </c>
      <c r="G23" s="4">
        <v>2051210000</v>
      </c>
    </row>
    <row r="24" spans="2:7" x14ac:dyDescent="0.25">
      <c r="B24" s="2" t="s">
        <v>115</v>
      </c>
      <c r="C24" s="4" t="s">
        <v>69</v>
      </c>
      <c r="D24" s="4">
        <v>111101</v>
      </c>
      <c r="E24" s="4" t="s">
        <v>0</v>
      </c>
      <c r="F24" s="20">
        <v>12593.355</v>
      </c>
      <c r="G24" s="4">
        <v>2051260000</v>
      </c>
    </row>
    <row r="25" spans="2:7" x14ac:dyDescent="0.25">
      <c r="B25" s="2" t="s">
        <v>194</v>
      </c>
      <c r="C25" s="4" t="s">
        <v>21</v>
      </c>
      <c r="D25" s="4" t="s">
        <v>19</v>
      </c>
      <c r="E25" s="4" t="s">
        <v>54</v>
      </c>
      <c r="F25" s="20">
        <v>0</v>
      </c>
      <c r="G25" s="4">
        <v>2060441000</v>
      </c>
    </row>
    <row r="26" spans="2:7" x14ac:dyDescent="0.25">
      <c r="B26" s="2" t="s">
        <v>195</v>
      </c>
      <c r="C26" s="4" t="s">
        <v>21</v>
      </c>
      <c r="D26" s="4">
        <v>111111</v>
      </c>
      <c r="E26" s="4" t="s">
        <v>207</v>
      </c>
      <c r="F26" s="20">
        <v>-1252.8369999999998</v>
      </c>
      <c r="G26" s="4">
        <v>2060441000</v>
      </c>
    </row>
    <row r="27" spans="2:7" x14ac:dyDescent="0.25">
      <c r="B27" s="2" t="s">
        <v>116</v>
      </c>
      <c r="C27" s="4" t="s">
        <v>70</v>
      </c>
      <c r="D27" s="4" t="s">
        <v>3</v>
      </c>
      <c r="E27" s="4" t="s">
        <v>39</v>
      </c>
      <c r="F27" s="20">
        <v>-1418521.358</v>
      </c>
      <c r="G27" s="4">
        <v>2069010000</v>
      </c>
    </row>
    <row r="28" spans="2:7" x14ac:dyDescent="0.25">
      <c r="B28" s="2" t="s">
        <v>166</v>
      </c>
      <c r="C28" s="4" t="s">
        <v>70</v>
      </c>
      <c r="D28" s="4">
        <v>19</v>
      </c>
      <c r="E28" s="4" t="s">
        <v>40</v>
      </c>
      <c r="F28" s="20">
        <v>-622966.38600000006</v>
      </c>
      <c r="G28" s="4">
        <v>2069010000</v>
      </c>
    </row>
    <row r="29" spans="2:7" x14ac:dyDescent="0.25">
      <c r="B29" s="2" t="s">
        <v>167</v>
      </c>
      <c r="C29" s="4" t="s">
        <v>70</v>
      </c>
      <c r="D29" s="4" t="s">
        <v>16</v>
      </c>
      <c r="E29" s="4" t="s">
        <v>50</v>
      </c>
      <c r="F29" s="20">
        <v>0</v>
      </c>
      <c r="G29" s="4">
        <v>2069010000</v>
      </c>
    </row>
    <row r="30" spans="2:7" x14ac:dyDescent="0.25">
      <c r="B30" s="2" t="s">
        <v>168</v>
      </c>
      <c r="C30" s="4" t="s">
        <v>70</v>
      </c>
      <c r="D30" s="4" t="s">
        <v>10</v>
      </c>
      <c r="E30" s="4" t="s">
        <v>46</v>
      </c>
      <c r="F30" s="20">
        <v>0</v>
      </c>
      <c r="G30" s="4">
        <v>2069010000</v>
      </c>
    </row>
    <row r="31" spans="2:7" x14ac:dyDescent="0.25">
      <c r="B31" s="2" t="s">
        <v>120</v>
      </c>
      <c r="C31" s="4" t="s">
        <v>70</v>
      </c>
      <c r="D31" s="4">
        <v>1009</v>
      </c>
      <c r="E31" s="4" t="s">
        <v>34</v>
      </c>
      <c r="F31" s="20">
        <v>0</v>
      </c>
      <c r="G31" s="4">
        <v>2069010000</v>
      </c>
    </row>
    <row r="32" spans="2:7" x14ac:dyDescent="0.25">
      <c r="B32" s="2" t="s">
        <v>121</v>
      </c>
      <c r="C32" s="4" t="s">
        <v>70</v>
      </c>
      <c r="D32" s="4">
        <v>1007</v>
      </c>
      <c r="E32" s="4" t="s">
        <v>36</v>
      </c>
      <c r="F32" s="20">
        <v>0</v>
      </c>
      <c r="G32" s="4">
        <v>2069010000</v>
      </c>
    </row>
    <row r="33" spans="2:7" x14ac:dyDescent="0.25">
      <c r="B33" s="2" t="s">
        <v>122</v>
      </c>
      <c r="C33" s="4" t="s">
        <v>70</v>
      </c>
      <c r="D33" s="4">
        <v>1008</v>
      </c>
      <c r="E33" s="4" t="s">
        <v>38</v>
      </c>
      <c r="F33" s="20">
        <v>0</v>
      </c>
      <c r="G33" s="4">
        <v>2069010000</v>
      </c>
    </row>
    <row r="34" spans="2:7" x14ac:dyDescent="0.25">
      <c r="B34" s="2" t="s">
        <v>123</v>
      </c>
      <c r="C34" s="4" t="s">
        <v>70</v>
      </c>
      <c r="D34" s="4">
        <v>1240</v>
      </c>
      <c r="E34" s="4" t="s">
        <v>43</v>
      </c>
      <c r="F34" s="20">
        <v>0</v>
      </c>
      <c r="G34" s="4">
        <v>2069010000</v>
      </c>
    </row>
    <row r="35" spans="2:7" x14ac:dyDescent="0.25">
      <c r="B35" s="2" t="s">
        <v>196</v>
      </c>
      <c r="C35" s="4" t="s">
        <v>70</v>
      </c>
      <c r="D35" s="4">
        <v>1006</v>
      </c>
      <c r="E35" s="4" t="s">
        <v>53</v>
      </c>
      <c r="F35" s="20">
        <v>0</v>
      </c>
      <c r="G35" s="4">
        <v>2069010000</v>
      </c>
    </row>
    <row r="36" spans="2:7" x14ac:dyDescent="0.25">
      <c r="B36" s="2" t="s">
        <v>121</v>
      </c>
      <c r="C36" s="4" t="s">
        <v>70</v>
      </c>
      <c r="D36" s="4">
        <v>1007</v>
      </c>
      <c r="E36" s="4" t="s">
        <v>37</v>
      </c>
      <c r="F36" s="20">
        <v>0</v>
      </c>
      <c r="G36" s="4">
        <v>2069010000</v>
      </c>
    </row>
    <row r="37" spans="2:7" x14ac:dyDescent="0.25">
      <c r="B37" s="2" t="s">
        <v>169</v>
      </c>
      <c r="C37" s="4" t="s">
        <v>70</v>
      </c>
      <c r="D37" s="4" t="s">
        <v>17</v>
      </c>
      <c r="E37" s="4" t="s">
        <v>51</v>
      </c>
      <c r="F37" s="20">
        <v>-1948832.1429999999</v>
      </c>
      <c r="G37" s="4">
        <v>2069010000</v>
      </c>
    </row>
    <row r="38" spans="2:7" x14ac:dyDescent="0.25">
      <c r="B38" s="2" t="s">
        <v>124</v>
      </c>
      <c r="C38" s="4" t="s">
        <v>70</v>
      </c>
      <c r="D38" s="4">
        <v>111111</v>
      </c>
      <c r="E38" s="4" t="s">
        <v>207</v>
      </c>
      <c r="F38" s="20">
        <v>-902857.84299999999</v>
      </c>
      <c r="G38" s="4">
        <v>2069010000</v>
      </c>
    </row>
    <row r="39" spans="2:7" x14ac:dyDescent="0.25">
      <c r="B39" s="2" t="s">
        <v>197</v>
      </c>
      <c r="C39" s="4" t="s">
        <v>26</v>
      </c>
      <c r="D39" s="4">
        <v>111111</v>
      </c>
      <c r="E39" s="4" t="s">
        <v>207</v>
      </c>
      <c r="F39" s="20">
        <v>-61499.999999999993</v>
      </c>
      <c r="G39" s="4">
        <v>2069020000</v>
      </c>
    </row>
    <row r="40" spans="2:7" x14ac:dyDescent="0.25">
      <c r="B40" s="2" t="s">
        <v>198</v>
      </c>
      <c r="C40" s="4" t="s">
        <v>71</v>
      </c>
      <c r="D40" s="4">
        <v>105</v>
      </c>
      <c r="E40" s="4" t="s">
        <v>32</v>
      </c>
      <c r="F40" s="20">
        <v>-30913.425999999996</v>
      </c>
      <c r="G40" s="4">
        <v>2069980000</v>
      </c>
    </row>
    <row r="41" spans="2:7" x14ac:dyDescent="0.25">
      <c r="B41" s="2" t="s">
        <v>125</v>
      </c>
      <c r="C41" s="4" t="s">
        <v>71</v>
      </c>
      <c r="D41" s="4">
        <v>111111</v>
      </c>
      <c r="E41" s="4" t="s">
        <v>207</v>
      </c>
      <c r="F41" s="20">
        <v>-15872.001999999999</v>
      </c>
      <c r="G41" s="4">
        <v>2069980000</v>
      </c>
    </row>
    <row r="42" spans="2:7" x14ac:dyDescent="0.25">
      <c r="B42" s="2" t="s">
        <v>126</v>
      </c>
      <c r="C42" s="4" t="s">
        <v>72</v>
      </c>
      <c r="D42" s="4">
        <v>111111</v>
      </c>
      <c r="E42" s="4" t="s">
        <v>207</v>
      </c>
      <c r="F42" s="20">
        <v>57.317999999999998</v>
      </c>
      <c r="G42" s="4">
        <v>2070400000</v>
      </c>
    </row>
    <row r="43" spans="2:7" x14ac:dyDescent="0.25">
      <c r="B43" s="2" t="s">
        <v>128</v>
      </c>
      <c r="C43" s="4" t="s">
        <v>73</v>
      </c>
      <c r="D43" s="4">
        <v>111111</v>
      </c>
      <c r="E43" s="4" t="s">
        <v>207</v>
      </c>
      <c r="F43" s="20">
        <v>19198.66</v>
      </c>
      <c r="G43" s="4">
        <v>2070500000</v>
      </c>
    </row>
    <row r="44" spans="2:7" x14ac:dyDescent="0.25">
      <c r="B44" s="2" t="s">
        <v>199</v>
      </c>
      <c r="C44" s="4" t="s">
        <v>74</v>
      </c>
      <c r="D44" s="4">
        <v>105</v>
      </c>
      <c r="E44" s="4" t="s">
        <v>32</v>
      </c>
      <c r="F44" s="20">
        <v>-1423120</v>
      </c>
      <c r="G44" s="4">
        <v>2070600000</v>
      </c>
    </row>
    <row r="45" spans="2:7" x14ac:dyDescent="0.25">
      <c r="B45" s="2" t="s">
        <v>129</v>
      </c>
      <c r="C45" s="4" t="s">
        <v>74</v>
      </c>
      <c r="D45" s="4">
        <v>111111</v>
      </c>
      <c r="E45" s="4" t="s">
        <v>207</v>
      </c>
      <c r="F45" s="20">
        <v>-172933.44899999999</v>
      </c>
      <c r="G45" s="4">
        <v>2070600000</v>
      </c>
    </row>
    <row r="46" spans="2:7" x14ac:dyDescent="0.25">
      <c r="B46" s="2" t="s">
        <v>172</v>
      </c>
      <c r="C46" s="4" t="s">
        <v>75</v>
      </c>
      <c r="D46" s="4">
        <v>105</v>
      </c>
      <c r="E46" s="4" t="s">
        <v>32</v>
      </c>
      <c r="F46" s="20">
        <v>473575.46100000001</v>
      </c>
      <c r="G46" s="4">
        <v>2070900000</v>
      </c>
    </row>
    <row r="47" spans="2:7" x14ac:dyDescent="0.25">
      <c r="B47" s="2" t="s">
        <v>132</v>
      </c>
      <c r="C47" s="4" t="s">
        <v>75</v>
      </c>
      <c r="D47" s="4">
        <v>111111</v>
      </c>
      <c r="E47" s="4" t="s">
        <v>207</v>
      </c>
      <c r="F47" s="20">
        <v>1481408.47</v>
      </c>
      <c r="G47" s="4">
        <v>2070900000</v>
      </c>
    </row>
    <row r="48" spans="2:7" x14ac:dyDescent="0.25">
      <c r="B48" s="2" t="s">
        <v>133</v>
      </c>
      <c r="C48" s="4" t="s">
        <v>7</v>
      </c>
      <c r="D48" s="4">
        <v>111111</v>
      </c>
      <c r="E48" s="4" t="s">
        <v>207</v>
      </c>
      <c r="F48" s="20">
        <v>40048.799999999996</v>
      </c>
      <c r="G48" s="4">
        <v>2071000000</v>
      </c>
    </row>
    <row r="49" spans="2:7" x14ac:dyDescent="0.25">
      <c r="B49" s="2" t="s">
        <v>200</v>
      </c>
      <c r="C49" s="4" t="s">
        <v>76</v>
      </c>
      <c r="D49" s="4">
        <v>88</v>
      </c>
      <c r="E49" s="4" t="s">
        <v>31</v>
      </c>
      <c r="F49" s="20">
        <v>584.66</v>
      </c>
      <c r="G49" s="4">
        <v>2071100000</v>
      </c>
    </row>
    <row r="50" spans="2:7" x14ac:dyDescent="0.25">
      <c r="B50" s="2" t="s">
        <v>134</v>
      </c>
      <c r="C50" s="4" t="s">
        <v>76</v>
      </c>
      <c r="D50" s="4">
        <v>111111</v>
      </c>
      <c r="E50" s="4" t="s">
        <v>207</v>
      </c>
      <c r="F50" s="20">
        <v>64039.82699999999</v>
      </c>
      <c r="G50" s="4">
        <v>2071100000</v>
      </c>
    </row>
    <row r="51" spans="2:7" x14ac:dyDescent="0.25">
      <c r="B51" s="2" t="s">
        <v>201</v>
      </c>
      <c r="C51" s="4" t="s">
        <v>27</v>
      </c>
      <c r="D51" s="4">
        <v>111111</v>
      </c>
      <c r="E51" s="4" t="s">
        <v>207</v>
      </c>
      <c r="F51" s="20">
        <v>1352.9999999999998</v>
      </c>
      <c r="G51" s="4">
        <v>2071209100</v>
      </c>
    </row>
    <row r="52" spans="2:7" x14ac:dyDescent="0.25">
      <c r="B52" s="2" t="s">
        <v>135</v>
      </c>
      <c r="C52" s="4" t="s">
        <v>8</v>
      </c>
      <c r="D52" s="4">
        <v>111111</v>
      </c>
      <c r="E52" s="4" t="s">
        <v>207</v>
      </c>
      <c r="F52" s="20">
        <v>2514431.8869999996</v>
      </c>
      <c r="G52" s="4">
        <v>2071209200</v>
      </c>
    </row>
    <row r="53" spans="2:7" x14ac:dyDescent="0.25">
      <c r="B53" s="2" t="s">
        <v>136</v>
      </c>
      <c r="C53" s="4" t="s">
        <v>77</v>
      </c>
      <c r="D53" s="4">
        <v>111111</v>
      </c>
      <c r="E53" s="4" t="s">
        <v>207</v>
      </c>
      <c r="F53" s="20">
        <v>4194.2999999999993</v>
      </c>
      <c r="G53" s="4">
        <v>2071209400</v>
      </c>
    </row>
    <row r="54" spans="2:7" x14ac:dyDescent="0.25">
      <c r="B54" s="2" t="s">
        <v>137</v>
      </c>
      <c r="C54" s="4" t="s">
        <v>78</v>
      </c>
      <c r="D54" s="4">
        <v>111111</v>
      </c>
      <c r="E54" s="4" t="s">
        <v>207</v>
      </c>
      <c r="F54" s="20">
        <v>106525.708</v>
      </c>
      <c r="G54" s="4">
        <v>2071209500</v>
      </c>
    </row>
    <row r="55" spans="2:7" x14ac:dyDescent="0.25">
      <c r="B55" s="2" t="s">
        <v>138</v>
      </c>
      <c r="C55" s="4" t="s">
        <v>79</v>
      </c>
      <c r="D55" s="4">
        <v>111101</v>
      </c>
      <c r="E55" s="4" t="s">
        <v>0</v>
      </c>
      <c r="F55" s="20">
        <v>109811.284</v>
      </c>
      <c r="G55" s="4">
        <v>2071980000</v>
      </c>
    </row>
    <row r="56" spans="2:7" x14ac:dyDescent="0.25">
      <c r="B56" s="2" t="s">
        <v>139</v>
      </c>
      <c r="C56" s="4" t="s">
        <v>80</v>
      </c>
      <c r="D56" s="4">
        <v>111111</v>
      </c>
      <c r="E56" s="4" t="s">
        <v>207</v>
      </c>
      <c r="F56" s="20">
        <v>61111.483999999997</v>
      </c>
      <c r="G56" s="4">
        <v>2079022000</v>
      </c>
    </row>
    <row r="57" spans="2:7" x14ac:dyDescent="0.25">
      <c r="B57" s="2" t="s">
        <v>181</v>
      </c>
      <c r="C57" s="4" t="s">
        <v>81</v>
      </c>
      <c r="D57" s="4" t="s">
        <v>12</v>
      </c>
      <c r="E57" s="4" t="s">
        <v>35</v>
      </c>
      <c r="F57" s="20">
        <v>0</v>
      </c>
      <c r="G57" s="4">
        <v>2079070000</v>
      </c>
    </row>
    <row r="58" spans="2:7" x14ac:dyDescent="0.25">
      <c r="B58" s="2" t="s">
        <v>140</v>
      </c>
      <c r="C58" s="4" t="s">
        <v>81</v>
      </c>
      <c r="D58" s="4">
        <v>105</v>
      </c>
      <c r="E58" s="4" t="s">
        <v>32</v>
      </c>
      <c r="F58" s="20">
        <v>1684415.2999999998</v>
      </c>
      <c r="G58" s="4">
        <v>2079070000</v>
      </c>
    </row>
    <row r="59" spans="2:7" x14ac:dyDescent="0.25">
      <c r="B59" s="2" t="s">
        <v>141</v>
      </c>
      <c r="C59" s="4" t="s">
        <v>81</v>
      </c>
      <c r="D59" s="4">
        <v>111111</v>
      </c>
      <c r="E59" s="4" t="s">
        <v>207</v>
      </c>
      <c r="F59" s="20">
        <v>575626.2649999999</v>
      </c>
      <c r="G59" s="4">
        <v>2079070000</v>
      </c>
    </row>
    <row r="60" spans="2:7" x14ac:dyDescent="0.25">
      <c r="B60" s="2" t="s">
        <v>182</v>
      </c>
      <c r="C60" s="4" t="s">
        <v>82</v>
      </c>
      <c r="D60" s="4" t="s">
        <v>10</v>
      </c>
      <c r="E60" s="4" t="s">
        <v>46</v>
      </c>
      <c r="F60" s="20">
        <v>0</v>
      </c>
      <c r="G60" s="4">
        <v>2079080000</v>
      </c>
    </row>
    <row r="61" spans="2:7" x14ac:dyDescent="0.25">
      <c r="B61" s="2" t="s">
        <v>143</v>
      </c>
      <c r="C61" s="4" t="s">
        <v>82</v>
      </c>
      <c r="D61" s="4">
        <v>1007</v>
      </c>
      <c r="E61" s="4" t="s">
        <v>37</v>
      </c>
      <c r="F61" s="20">
        <v>0</v>
      </c>
      <c r="G61" s="4">
        <v>2079080000</v>
      </c>
    </row>
    <row r="62" spans="2:7" x14ac:dyDescent="0.25">
      <c r="B62" s="2" t="s">
        <v>183</v>
      </c>
      <c r="C62" s="4" t="s">
        <v>83</v>
      </c>
      <c r="D62" s="4" t="s">
        <v>10</v>
      </c>
      <c r="E62" s="4" t="s">
        <v>46</v>
      </c>
      <c r="F62" s="20">
        <v>0</v>
      </c>
      <c r="G62" s="4">
        <v>2082280000</v>
      </c>
    </row>
    <row r="63" spans="2:7" x14ac:dyDescent="0.25">
      <c r="B63" s="2" t="s">
        <v>145</v>
      </c>
      <c r="C63" s="4" t="s">
        <v>83</v>
      </c>
      <c r="D63" s="4">
        <v>1009</v>
      </c>
      <c r="E63" s="4" t="s">
        <v>34</v>
      </c>
      <c r="F63" s="20">
        <v>0</v>
      </c>
      <c r="G63" s="4">
        <v>2082280000</v>
      </c>
    </row>
    <row r="64" spans="2:7" x14ac:dyDescent="0.25">
      <c r="B64" s="2" t="s">
        <v>146</v>
      </c>
      <c r="C64" s="4" t="s">
        <v>83</v>
      </c>
      <c r="D64" s="4">
        <v>1007</v>
      </c>
      <c r="E64" s="4" t="s">
        <v>36</v>
      </c>
      <c r="F64" s="20">
        <v>0</v>
      </c>
      <c r="G64" s="4">
        <v>2082280000</v>
      </c>
    </row>
    <row r="65" spans="2:7" x14ac:dyDescent="0.25">
      <c r="B65" s="2" t="s">
        <v>147</v>
      </c>
      <c r="C65" s="4" t="s">
        <v>83</v>
      </c>
      <c r="D65" s="4">
        <v>1008</v>
      </c>
      <c r="E65" s="4" t="s">
        <v>38</v>
      </c>
      <c r="F65" s="20">
        <v>0</v>
      </c>
      <c r="G65" s="4">
        <v>2082280000</v>
      </c>
    </row>
    <row r="66" spans="2:7" x14ac:dyDescent="0.25">
      <c r="B66" s="2" t="s">
        <v>148</v>
      </c>
      <c r="C66" s="4" t="s">
        <v>83</v>
      </c>
      <c r="D66" s="4">
        <v>1240</v>
      </c>
      <c r="E66" s="4" t="s">
        <v>43</v>
      </c>
      <c r="F66" s="20">
        <v>0</v>
      </c>
      <c r="G66" s="4">
        <v>2082280000</v>
      </c>
    </row>
    <row r="67" spans="2:7" x14ac:dyDescent="0.25">
      <c r="B67" s="2" t="s">
        <v>184</v>
      </c>
      <c r="C67" s="4" t="s">
        <v>83</v>
      </c>
      <c r="D67" s="4">
        <v>1006</v>
      </c>
      <c r="E67" s="4" t="s">
        <v>53</v>
      </c>
      <c r="F67" s="20">
        <v>0</v>
      </c>
      <c r="G67" s="4">
        <v>2082280000</v>
      </c>
    </row>
    <row r="68" spans="2:7" x14ac:dyDescent="0.25">
      <c r="B68" s="2" t="s">
        <v>149</v>
      </c>
      <c r="C68" s="4" t="s">
        <v>83</v>
      </c>
      <c r="D68" s="4">
        <v>111111</v>
      </c>
      <c r="E68" s="4" t="s">
        <v>207</v>
      </c>
      <c r="F68" s="20">
        <v>-73809.511999999988</v>
      </c>
      <c r="G68" s="4">
        <v>2082280000</v>
      </c>
    </row>
    <row r="69" spans="2:7" x14ac:dyDescent="0.25">
      <c r="B69" s="2" t="s">
        <v>151</v>
      </c>
      <c r="C69" s="4" t="s">
        <v>84</v>
      </c>
      <c r="D69" s="4">
        <v>111101</v>
      </c>
      <c r="E69" s="4" t="s">
        <v>0</v>
      </c>
      <c r="F69" s="20">
        <v>7173.195999999999</v>
      </c>
      <c r="G69" s="4">
        <v>2082208200</v>
      </c>
    </row>
    <row r="70" spans="2:7" x14ac:dyDescent="0.25">
      <c r="B70" s="2" t="s">
        <v>152</v>
      </c>
      <c r="C70" s="4" t="s">
        <v>85</v>
      </c>
      <c r="D70" s="4">
        <v>88</v>
      </c>
      <c r="E70" s="4" t="s">
        <v>31</v>
      </c>
      <c r="F70" s="20">
        <v>2324465.8859999999</v>
      </c>
      <c r="G70" s="4">
        <v>2082214000</v>
      </c>
    </row>
    <row r="71" spans="2:7" x14ac:dyDescent="0.25">
      <c r="B71" s="2" t="s">
        <v>185</v>
      </c>
      <c r="C71" s="4" t="s">
        <v>85</v>
      </c>
      <c r="D71" s="4">
        <v>1007</v>
      </c>
      <c r="E71" s="4" t="s">
        <v>37</v>
      </c>
      <c r="F71" s="20">
        <v>0</v>
      </c>
      <c r="G71" s="4">
        <v>2082214000</v>
      </c>
    </row>
    <row r="72" spans="2:7" x14ac:dyDescent="0.25">
      <c r="B72" s="2" t="s">
        <v>186</v>
      </c>
      <c r="C72" s="4" t="s">
        <v>85</v>
      </c>
      <c r="D72" s="4">
        <v>111111</v>
      </c>
      <c r="E72" s="4" t="s">
        <v>207</v>
      </c>
      <c r="F72" s="20">
        <v>51.454999999999998</v>
      </c>
      <c r="G72" s="4">
        <v>2082214000</v>
      </c>
    </row>
    <row r="73" spans="2:7" x14ac:dyDescent="0.25">
      <c r="B73" s="2" t="s">
        <v>202</v>
      </c>
      <c r="C73" s="4" t="s">
        <v>209</v>
      </c>
      <c r="D73" s="4">
        <v>111101</v>
      </c>
      <c r="E73" s="4" t="s">
        <v>0</v>
      </c>
      <c r="F73" s="20">
        <v>0</v>
      </c>
      <c r="G73" s="4">
        <v>2082110000</v>
      </c>
    </row>
    <row r="74" spans="2:7" x14ac:dyDescent="0.25">
      <c r="B74" s="2" t="s">
        <v>153</v>
      </c>
      <c r="C74" s="4" t="s">
        <v>86</v>
      </c>
      <c r="D74" s="4">
        <v>111101</v>
      </c>
      <c r="E74" s="4" t="s">
        <v>0</v>
      </c>
      <c r="F74" s="20">
        <v>2558.1950000000002</v>
      </c>
      <c r="G74" s="4">
        <v>2091200000</v>
      </c>
    </row>
    <row r="75" spans="2:7" x14ac:dyDescent="0.25">
      <c r="B75" s="2" t="s">
        <v>154</v>
      </c>
      <c r="C75" s="4" t="s">
        <v>87</v>
      </c>
      <c r="D75" s="4">
        <v>111101</v>
      </c>
      <c r="E75" s="4" t="s">
        <v>0</v>
      </c>
      <c r="F75" s="20">
        <v>522710.353</v>
      </c>
      <c r="G75" s="4">
        <v>2091200001</v>
      </c>
    </row>
    <row r="76" spans="2:7" x14ac:dyDescent="0.25">
      <c r="B76" s="2" t="s">
        <v>155</v>
      </c>
      <c r="C76" s="4" t="s">
        <v>88</v>
      </c>
      <c r="D76" s="4">
        <v>111101</v>
      </c>
      <c r="E76" s="4" t="s">
        <v>0</v>
      </c>
      <c r="F76" s="20">
        <v>-160303.52199999997</v>
      </c>
      <c r="G76" s="4">
        <v>2092200000</v>
      </c>
    </row>
    <row r="77" spans="2:7" x14ac:dyDescent="0.25">
      <c r="B77" s="2" t="s">
        <v>203</v>
      </c>
      <c r="C77" s="4" t="s">
        <v>28</v>
      </c>
      <c r="D77" s="4">
        <v>111101</v>
      </c>
      <c r="E77" s="4" t="s">
        <v>0</v>
      </c>
      <c r="F77" s="20">
        <v>0</v>
      </c>
      <c r="G77" s="4">
        <v>2111111997</v>
      </c>
    </row>
    <row r="78" spans="2:7" x14ac:dyDescent="0.25">
      <c r="B78" s="18" t="s">
        <v>189</v>
      </c>
      <c r="C78" s="19" t="s">
        <v>61</v>
      </c>
      <c r="D78" s="19">
        <v>111101</v>
      </c>
      <c r="E78" s="19" t="s">
        <v>0</v>
      </c>
      <c r="F78" s="21">
        <f>-1479290.476+700000</f>
        <v>-779290.47600000002</v>
      </c>
      <c r="G78" s="19">
        <v>2111111999</v>
      </c>
    </row>
  </sheetData>
  <autoFilter ref="C4:H78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B1:B12"/>
  <sheetViews>
    <sheetView workbookViewId="0"/>
  </sheetViews>
  <sheetFormatPr defaultColWidth="9.1796875" defaultRowHeight="11.5" x14ac:dyDescent="0.25"/>
  <cols>
    <col min="1" max="1" width="2" style="2" customWidth="1"/>
    <col min="2" max="16384" width="9.1796875" style="2"/>
  </cols>
  <sheetData>
    <row r="1" spans="2:2" ht="15.5" x14ac:dyDescent="0.35">
      <c r="B1" s="3"/>
    </row>
    <row r="12" spans="2:2" ht="40" x14ac:dyDescent="0.8">
      <c r="B12" s="12" t="s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K216"/>
  <sheetViews>
    <sheetView workbookViewId="0">
      <selection activeCell="I3" sqref="I3"/>
    </sheetView>
  </sheetViews>
  <sheetFormatPr defaultColWidth="9.1796875" defaultRowHeight="11.5" x14ac:dyDescent="0.25"/>
  <cols>
    <col min="1" max="1" width="2" style="2" customWidth="1"/>
    <col min="2" max="2" width="17.26953125" style="2" bestFit="1" customWidth="1"/>
    <col min="3" max="3" width="23.453125" style="2" customWidth="1"/>
    <col min="4" max="4" width="16" style="2" customWidth="1"/>
    <col min="5" max="5" width="22.81640625" style="2" customWidth="1"/>
    <col min="6" max="6" width="12.1796875" style="2" customWidth="1"/>
    <col min="7" max="7" width="10.81640625" style="2" customWidth="1"/>
    <col min="8" max="8" width="10.7265625" style="2" customWidth="1"/>
    <col min="9" max="9" width="2" style="2" customWidth="1"/>
    <col min="10" max="10" width="22.81640625" style="2" bestFit="1" customWidth="1"/>
    <col min="11" max="11" width="9.1796875" style="2"/>
    <col min="12" max="12" width="17.26953125" style="2" bestFit="1" customWidth="1"/>
    <col min="13" max="16384" width="9.1796875" style="2"/>
  </cols>
  <sheetData>
    <row r="1" spans="2:11" ht="15.5" x14ac:dyDescent="0.35">
      <c r="B1" s="3" t="s">
        <v>91</v>
      </c>
    </row>
    <row r="3" spans="2:11" ht="12" thickBot="1" x14ac:dyDescent="0.3">
      <c r="B3" s="14" t="s">
        <v>99</v>
      </c>
      <c r="C3" s="24" t="s">
        <v>204</v>
      </c>
      <c r="D3" s="24" t="s">
        <v>30</v>
      </c>
      <c r="E3" s="24" t="s">
        <v>205</v>
      </c>
      <c r="F3" s="15" t="s">
        <v>247</v>
      </c>
      <c r="G3" s="15" t="s">
        <v>248</v>
      </c>
      <c r="H3" s="15" t="s">
        <v>249</v>
      </c>
      <c r="J3" s="15" t="s">
        <v>223</v>
      </c>
    </row>
    <row r="4" spans="2:11" x14ac:dyDescent="0.25">
      <c r="B4" s="2" t="s">
        <v>101</v>
      </c>
      <c r="C4" s="4" t="str">
        <f>+VLOOKUP($B4,'1.1 FY2016'!$B$5:$E$61,2,FALSE)</f>
        <v>Core business revenues</v>
      </c>
      <c r="D4" s="4">
        <f>+VLOOKUP($B4,'1.1 FY2016'!$B$5:$E$61,3,FALSE)</f>
        <v>111111</v>
      </c>
      <c r="E4" s="4" t="str">
        <f>+VLOOKUP($B4,'1.1 FY2016'!$B$5:$E$61,4,FALSE)</f>
        <v>External</v>
      </c>
      <c r="F4" s="16">
        <f>-SUMIF('1.1 FY2016'!$B:$B,'2.1 Database'!B4,'1.1 FY2016'!$F:$F)</f>
        <v>14500341</v>
      </c>
      <c r="G4" s="16">
        <f>-SUMIF('1.2 FY2017'!$B:$B,'2.1 Database'!B4,'1.2 FY2017'!$F:$F)</f>
        <v>15792898.75</v>
      </c>
      <c r="H4" s="16">
        <f>-SUMIF('1.3 FY2018'!$B:$B,'2.1 Database'!B4,'1.3 FY2018'!$F:$F)</f>
        <v>14431341</v>
      </c>
      <c r="J4" s="31" t="s">
        <v>213</v>
      </c>
      <c r="K4" s="2">
        <f>+COUNTIF('2.2 P&amp;L statement'!$B$4:$B$24,'2.1 Database'!J4)</f>
        <v>1</v>
      </c>
    </row>
    <row r="5" spans="2:11" x14ac:dyDescent="0.25">
      <c r="B5" s="2" t="s">
        <v>102</v>
      </c>
      <c r="C5" s="4" t="str">
        <f>+VLOOKUP($B5,'1.1 FY2016'!$B$5:$E$61,2,FALSE)</f>
        <v>Other revenues</v>
      </c>
      <c r="D5" s="4">
        <f>+VLOOKUP($B5,'1.1 FY2016'!$B$5:$E$61,3,FALSE)</f>
        <v>111111</v>
      </c>
      <c r="E5" s="4" t="str">
        <f>+VLOOKUP($B5,'1.1 FY2016'!$B$5:$E$61,4,FALSE)</f>
        <v>External</v>
      </c>
      <c r="F5" s="16">
        <f>-SUMIF('1.1 FY2016'!$B:$B,'2.1 Database'!B5,'1.1 FY2016'!$F:$F)</f>
        <v>4794856.1919999998</v>
      </c>
      <c r="G5" s="16">
        <f>-SUMIF('1.2 FY2017'!$B:$B,'2.1 Database'!B5,'1.2 FY2017'!$F:$F)</f>
        <v>6960217.6449999996</v>
      </c>
      <c r="H5" s="16">
        <f>-SUMIF('1.3 FY2018'!$B:$B,'2.1 Database'!B5,'1.3 FY2018'!$F:$F)</f>
        <v>6373617.5140000004</v>
      </c>
      <c r="J5" s="31" t="s">
        <v>63</v>
      </c>
      <c r="K5" s="2">
        <f>+COUNTIF('2.2 P&amp;L statement'!$B$4:$B$24,'2.1 Database'!J5)</f>
        <v>1</v>
      </c>
    </row>
    <row r="6" spans="2:11" x14ac:dyDescent="0.25">
      <c r="B6" s="2" t="s">
        <v>103</v>
      </c>
      <c r="C6" s="4" t="str">
        <f>+VLOOKUP($B6,'1.1 FY2016'!$B$5:$E$61,2,FALSE)</f>
        <v>Capitalized costs</v>
      </c>
      <c r="D6" s="4">
        <f>+VLOOKUP($B6,'1.1 FY2016'!$B$5:$E$61,3,FALSE)</f>
        <v>1009</v>
      </c>
      <c r="E6" s="4" t="str">
        <f>+VLOOKUP($B6,'1.1 FY2016'!$B$5:$E$61,4,FALSE)</f>
        <v>Green Ventures Ltd</v>
      </c>
      <c r="F6" s="16">
        <f>-SUMIF('1.1 FY2016'!$B:$B,'2.1 Database'!B6,'1.1 FY2016'!$F:$F)</f>
        <v>154890.4</v>
      </c>
      <c r="G6" s="16">
        <f>-SUMIF('1.2 FY2017'!$B:$B,'2.1 Database'!B6,'1.2 FY2017'!$F:$F)</f>
        <v>0</v>
      </c>
      <c r="H6" s="16">
        <f>-SUMIF('1.3 FY2018'!$B:$B,'2.1 Database'!B6,'1.3 FY2018'!$F:$F)</f>
        <v>0</v>
      </c>
      <c r="J6" s="31" t="s">
        <v>64</v>
      </c>
      <c r="K6" s="2">
        <f>+COUNTIF('2.2 P&amp;L statement'!$B$4:$B$24,'2.1 Database'!J6)</f>
        <v>1</v>
      </c>
    </row>
    <row r="7" spans="2:11" x14ac:dyDescent="0.25">
      <c r="B7" s="2" t="s">
        <v>104</v>
      </c>
      <c r="C7" s="4" t="str">
        <f>+VLOOKUP($B7,'1.1 FY2016'!$B$5:$E$61,2,FALSE)</f>
        <v>Capitalized costs</v>
      </c>
      <c r="D7" s="4">
        <f>+VLOOKUP($B7,'1.1 FY2016'!$B$5:$E$61,3,FALSE)</f>
        <v>1007</v>
      </c>
      <c r="E7" s="4" t="str">
        <f>+VLOOKUP($B7,'1.1 FY2016'!$B$5:$E$61,4,FALSE)</f>
        <v>Generco Sunshine JSC</v>
      </c>
      <c r="F7" s="16">
        <f>-SUMIF('1.1 FY2016'!$B:$B,'2.1 Database'!B7,'1.1 FY2016'!$F:$F)</f>
        <v>1180894.0520000001</v>
      </c>
      <c r="G7" s="16">
        <f>-SUMIF('1.2 FY2017'!$B:$B,'2.1 Database'!B7,'1.2 FY2017'!$F:$F)</f>
        <v>89234.880000000005</v>
      </c>
      <c r="H7" s="16">
        <f>-SUMIF('1.3 FY2018'!$B:$B,'2.1 Database'!B7,'1.3 FY2018'!$F:$F)</f>
        <v>0</v>
      </c>
      <c r="J7" s="31" t="s">
        <v>64</v>
      </c>
      <c r="K7" s="2">
        <f>+COUNTIF('2.2 P&amp;L statement'!$B$4:$B$24,'2.1 Database'!J7)</f>
        <v>1</v>
      </c>
    </row>
    <row r="8" spans="2:11" x14ac:dyDescent="0.25">
      <c r="B8" s="2" t="s">
        <v>105</v>
      </c>
      <c r="C8" s="4" t="str">
        <f>+VLOOKUP($B8,'1.1 FY2016'!$B$5:$E$61,2,FALSE)</f>
        <v>Capitalized costs</v>
      </c>
      <c r="D8" s="4">
        <f>+VLOOKUP($B8,'1.1 FY2016'!$B$5:$E$61,3,FALSE)</f>
        <v>1008</v>
      </c>
      <c r="E8" s="4" t="str">
        <f>+VLOOKUP($B8,'1.1 FY2016'!$B$5:$E$61,4,FALSE)</f>
        <v>Greenco Ltd</v>
      </c>
      <c r="F8" s="16">
        <f>-SUMIF('1.1 FY2016'!$B:$B,'2.1 Database'!B8,'1.1 FY2016'!$F:$F)</f>
        <v>793079.51199999999</v>
      </c>
      <c r="G8" s="16">
        <f>-SUMIF('1.2 FY2017'!$B:$B,'2.1 Database'!B8,'1.2 FY2017'!$F:$F)</f>
        <v>26173</v>
      </c>
      <c r="H8" s="16">
        <f>-SUMIF('1.3 FY2018'!$B:$B,'2.1 Database'!B8,'1.3 FY2018'!$F:$F)</f>
        <v>0</v>
      </c>
      <c r="J8" s="31" t="s">
        <v>64</v>
      </c>
      <c r="K8" s="2">
        <f>+COUNTIF('2.2 P&amp;L statement'!$B$4:$B$24,'2.1 Database'!J8)</f>
        <v>1</v>
      </c>
    </row>
    <row r="9" spans="2:11" x14ac:dyDescent="0.25">
      <c r="B9" s="2" t="s">
        <v>106</v>
      </c>
      <c r="C9" s="4" t="str">
        <f>+VLOOKUP($B9,'1.1 FY2016'!$B$5:$E$61,2,FALSE)</f>
        <v>Capitalized costs</v>
      </c>
      <c r="D9" s="4">
        <f>+VLOOKUP($B9,'1.1 FY2016'!$B$5:$E$61,3,FALSE)</f>
        <v>111101</v>
      </c>
      <c r="E9" s="4" t="str">
        <f>+VLOOKUP($B9,'1.1 FY2016'!$B$5:$E$61,4,FALSE)</f>
        <v>Not assigned</v>
      </c>
      <c r="F9" s="16">
        <f>-SUMIF('1.1 FY2016'!$B:$B,'2.1 Database'!B9,'1.1 FY2016'!$F:$F)</f>
        <v>2277197.6</v>
      </c>
      <c r="G9" s="16">
        <f>-SUMIF('1.2 FY2017'!$B:$B,'2.1 Database'!B9,'1.2 FY2017'!$F:$F)</f>
        <v>209401.92</v>
      </c>
      <c r="H9" s="16">
        <f>-SUMIF('1.3 FY2018'!$B:$B,'2.1 Database'!B9,'1.3 FY2018'!$F:$F)</f>
        <v>0</v>
      </c>
      <c r="J9" s="31" t="s">
        <v>64</v>
      </c>
      <c r="K9" s="2">
        <f>+COUNTIF('2.2 P&amp;L statement'!$B$4:$B$24,'2.1 Database'!J9)</f>
        <v>1</v>
      </c>
    </row>
    <row r="10" spans="2:11" x14ac:dyDescent="0.25">
      <c r="B10" s="2" t="s">
        <v>107</v>
      </c>
      <c r="C10" s="4" t="str">
        <f>+VLOOKUP($B10,'1.1 FY2016'!$B$5:$E$61,2,FALSE)</f>
        <v>Direct costs</v>
      </c>
      <c r="D10" s="4">
        <f>+VLOOKUP($B10,'1.1 FY2016'!$B$5:$E$61,3,FALSE)</f>
        <v>111111</v>
      </c>
      <c r="E10" s="4" t="str">
        <f>+VLOOKUP($B10,'1.1 FY2016'!$B$5:$E$61,4,FALSE)</f>
        <v>External</v>
      </c>
      <c r="F10" s="16">
        <f>-SUMIF('1.1 FY2016'!$B:$B,'2.1 Database'!B10,'1.1 FY2016'!$F:$F)</f>
        <v>-4428911.7640000004</v>
      </c>
      <c r="G10" s="16">
        <f>-SUMIF('1.2 FY2017'!$B:$B,'2.1 Database'!B10,'1.2 FY2017'!$F:$F)</f>
        <v>-5463188.8250000002</v>
      </c>
      <c r="H10" s="16">
        <f>-SUMIF('1.3 FY2018'!$B:$B,'2.1 Database'!B10,'1.3 FY2018'!$F:$F)</f>
        <v>-5674152.0669999998</v>
      </c>
      <c r="J10" s="31" t="s">
        <v>224</v>
      </c>
      <c r="K10" s="2">
        <f>+COUNTIF('2.2 P&amp;L statement'!$B$4:$B$24,'2.1 Database'!J10)</f>
        <v>1</v>
      </c>
    </row>
    <row r="11" spans="2:11" x14ac:dyDescent="0.25">
      <c r="B11" s="2" t="s">
        <v>108</v>
      </c>
      <c r="C11" s="4" t="str">
        <f>+VLOOKUP($B11,'1.1 FY2016'!$B$5:$E$61,2,FALSE)</f>
        <v>Freight outbound expenses</v>
      </c>
      <c r="D11" s="4">
        <f>+VLOOKUP($B11,'1.1 FY2016'!$B$5:$E$61,3,FALSE)</f>
        <v>111111</v>
      </c>
      <c r="E11" s="4" t="str">
        <f>+VLOOKUP($B11,'1.1 FY2016'!$B$5:$E$61,4,FALSE)</f>
        <v>External</v>
      </c>
      <c r="F11" s="16">
        <f>-SUMIF('1.1 FY2016'!$B:$B,'2.1 Database'!B11,'1.1 FY2016'!$F:$F)</f>
        <v>-16977.628000000001</v>
      </c>
      <c r="G11" s="16">
        <f>-SUMIF('1.2 FY2017'!$B:$B,'2.1 Database'!B11,'1.2 FY2017'!$F:$F)</f>
        <v>-343675</v>
      </c>
      <c r="H11" s="16">
        <f>-SUMIF('1.3 FY2018'!$B:$B,'2.1 Database'!B11,'1.3 FY2018'!$F:$F)</f>
        <v>-350370.99399999995</v>
      </c>
      <c r="J11" s="31" t="s">
        <v>227</v>
      </c>
      <c r="K11" s="2">
        <f>+COUNTIF('2.2 P&amp;L statement'!$B$4:$B$24,'2.1 Database'!J11)</f>
        <v>1</v>
      </c>
    </row>
    <row r="12" spans="2:11" x14ac:dyDescent="0.25">
      <c r="B12" s="2" t="s">
        <v>109</v>
      </c>
      <c r="C12" s="4" t="str">
        <f>+VLOOKUP($B12,'1.1 FY2016'!$B$5:$E$61,2,FALSE)</f>
        <v>R&amp;D expenses</v>
      </c>
      <c r="D12" s="4">
        <f>+VLOOKUP($B12,'1.1 FY2016'!$B$5:$E$61,3,FALSE)</f>
        <v>88</v>
      </c>
      <c r="E12" s="4" t="str">
        <f>+VLOOKUP($B12,'1.1 FY2016'!$B$5:$E$61,4,FALSE)</f>
        <v>Generco Ltd</v>
      </c>
      <c r="F12" s="16">
        <f>-SUMIF('1.1 FY2016'!$B:$B,'2.1 Database'!B12,'1.1 FY2016'!$F:$F)</f>
        <v>-2245437.54</v>
      </c>
      <c r="G12" s="16">
        <f>-SUMIF('1.2 FY2017'!$B:$B,'2.1 Database'!B12,'1.2 FY2017'!$F:$F)</f>
        <v>-1980162.23</v>
      </c>
      <c r="H12" s="16">
        <f>-SUMIF('1.3 FY2018'!$B:$B,'2.1 Database'!B12,'1.3 FY2018'!$F:$F)</f>
        <v>-3116017.1540000001</v>
      </c>
      <c r="J12" s="31" t="s">
        <v>227</v>
      </c>
      <c r="K12" s="2">
        <f>+COUNTIF('2.2 P&amp;L statement'!$B$4:$B$24,'2.1 Database'!J12)</f>
        <v>1</v>
      </c>
    </row>
    <row r="13" spans="2:11" x14ac:dyDescent="0.25">
      <c r="B13" s="2" t="s">
        <v>110</v>
      </c>
      <c r="C13" s="4" t="str">
        <f>+VLOOKUP($B13,'1.1 FY2016'!$B$5:$E$61,2,FALSE)</f>
        <v>R&amp;D expenses</v>
      </c>
      <c r="D13" s="4">
        <f>+VLOOKUP($B13,'1.1 FY2016'!$B$5:$E$61,3,FALSE)</f>
        <v>111111</v>
      </c>
      <c r="E13" s="4" t="str">
        <f>+VLOOKUP($B13,'1.1 FY2016'!$B$5:$E$61,4,FALSE)</f>
        <v>External</v>
      </c>
      <c r="F13" s="16">
        <f>-SUMIF('1.1 FY2016'!$B:$B,'2.1 Database'!B13,'1.1 FY2016'!$F:$F)</f>
        <v>-16605.634000000002</v>
      </c>
      <c r="G13" s="16">
        <f>-SUMIF('1.2 FY2017'!$B:$B,'2.1 Database'!B13,'1.2 FY2017'!$F:$F)</f>
        <v>-27148.625</v>
      </c>
      <c r="H13" s="16">
        <f>-SUMIF('1.3 FY2018'!$B:$B,'2.1 Database'!B13,'1.3 FY2018'!$F:$F)</f>
        <v>-9783.7069999999985</v>
      </c>
      <c r="J13" s="31" t="s">
        <v>227</v>
      </c>
      <c r="K13" s="2">
        <f>+COUNTIF('2.2 P&amp;L statement'!$B$4:$B$24,'2.1 Database'!J13)</f>
        <v>1</v>
      </c>
    </row>
    <row r="14" spans="2:11" x14ac:dyDescent="0.25">
      <c r="B14" s="2" t="s">
        <v>111</v>
      </c>
      <c r="C14" s="4" t="str">
        <f>+VLOOKUP($B14,'1.1 FY2016'!$B$5:$E$61,2,FALSE)</f>
        <v>Wages and salaries</v>
      </c>
      <c r="D14" s="4">
        <f>+VLOOKUP($B14,'1.1 FY2016'!$B$5:$E$61,3,FALSE)</f>
        <v>111111</v>
      </c>
      <c r="E14" s="4" t="str">
        <f>+VLOOKUP($B14,'1.1 FY2016'!$B$5:$E$61,4,FALSE)</f>
        <v>External</v>
      </c>
      <c r="F14" s="16">
        <f>-SUMIF('1.1 FY2016'!$B:$B,'2.1 Database'!B14,'1.1 FY2016'!$F:$F)</f>
        <v>-4683394.0460000001</v>
      </c>
      <c r="G14" s="16">
        <f>-SUMIF('1.2 FY2017'!$B:$B,'2.1 Database'!B14,'1.2 FY2017'!$F:$F)</f>
        <v>-5507141.0549999997</v>
      </c>
      <c r="H14" s="16">
        <f>-SUMIF('1.3 FY2018'!$B:$B,'2.1 Database'!B14,'1.3 FY2018'!$F:$F)</f>
        <v>-3982699.5329999998</v>
      </c>
      <c r="J14" s="31" t="s">
        <v>214</v>
      </c>
      <c r="K14" s="2">
        <f>+COUNTIF('2.2 P&amp;L statement'!$B$4:$B$24,'2.1 Database'!J14)</f>
        <v>1</v>
      </c>
    </row>
    <row r="15" spans="2:11" x14ac:dyDescent="0.25">
      <c r="B15" s="2" t="s">
        <v>112</v>
      </c>
      <c r="C15" s="4" t="str">
        <f>+VLOOKUP($B15,'1.1 FY2016'!$B$5:$E$61,2,FALSE)</f>
        <v>Pension contributions</v>
      </c>
      <c r="D15" s="4">
        <f>+VLOOKUP($B15,'1.1 FY2016'!$B$5:$E$61,3,FALSE)</f>
        <v>111101</v>
      </c>
      <c r="E15" s="4" t="str">
        <f>+VLOOKUP($B15,'1.1 FY2016'!$B$5:$E$61,4,FALSE)</f>
        <v>Not assigned</v>
      </c>
      <c r="F15" s="16">
        <f>-SUMIF('1.1 FY2016'!$B:$B,'2.1 Database'!B15,'1.1 FY2016'!$F:$F)</f>
        <v>-1143051.5760000001</v>
      </c>
      <c r="G15" s="16">
        <f>-SUMIF('1.2 FY2017'!$B:$B,'2.1 Database'!B15,'1.2 FY2017'!$F:$F)</f>
        <v>-2057298.04</v>
      </c>
      <c r="H15" s="16">
        <f>-SUMIF('1.3 FY2018'!$B:$B,'2.1 Database'!B15,'1.3 FY2018'!$F:$F)</f>
        <v>-1709688.6429999997</v>
      </c>
      <c r="J15" s="31" t="s">
        <v>214</v>
      </c>
      <c r="K15" s="2">
        <f>+COUNTIF('2.2 P&amp;L statement'!$B$4:$B$24,'2.1 Database'!J15)</f>
        <v>1</v>
      </c>
    </row>
    <row r="16" spans="2:11" x14ac:dyDescent="0.25">
      <c r="B16" s="2" t="s">
        <v>212</v>
      </c>
      <c r="C16" s="4" t="str">
        <f>+VLOOKUP($B16,'1.1 FY2016'!$B$5:$E$61,2,FALSE)</f>
        <v>Pension contributions</v>
      </c>
      <c r="D16" s="4">
        <f>+VLOOKUP($B16,'1.1 FY2016'!$B$5:$E$61,3,FALSE)</f>
        <v>88</v>
      </c>
      <c r="E16" s="4" t="str">
        <f>+VLOOKUP($B16,'1.1 FY2016'!$B$5:$E$61,4,FALSE)</f>
        <v>Generco Ltd</v>
      </c>
      <c r="F16" s="16">
        <f>-SUMIF('1.1 FY2016'!$B:$B,'2.1 Database'!B16,'1.1 FY2016'!$F:$F)</f>
        <v>-239379.61800000002</v>
      </c>
      <c r="G16" s="16">
        <f>-SUMIF('1.2 FY2017'!$B:$B,'2.1 Database'!B16,'1.2 FY2017'!$F:$F)</f>
        <v>0</v>
      </c>
      <c r="H16" s="16">
        <f>-SUMIF('1.3 FY2018'!$B:$B,'2.1 Database'!B16,'1.3 FY2018'!$F:$F)</f>
        <v>0</v>
      </c>
      <c r="J16" s="31" t="s">
        <v>214</v>
      </c>
      <c r="K16" s="2">
        <f>+COUNTIF('2.2 P&amp;L statement'!$B$4:$B$24,'2.1 Database'!J16)</f>
        <v>1</v>
      </c>
    </row>
    <row r="17" spans="2:11" x14ac:dyDescent="0.25">
      <c r="B17" s="2" t="s">
        <v>113</v>
      </c>
      <c r="C17" s="4" t="str">
        <f>+VLOOKUP($B17,'1.1 FY2016'!$B$5:$E$61,2,FALSE)</f>
        <v>Severance indemnity contribution</v>
      </c>
      <c r="D17" s="4">
        <f>+VLOOKUP($B17,'1.1 FY2016'!$B$5:$E$61,3,FALSE)</f>
        <v>111101</v>
      </c>
      <c r="E17" s="4" t="str">
        <f>+VLOOKUP($B17,'1.1 FY2016'!$B$5:$E$61,4,FALSE)</f>
        <v>Not assigned</v>
      </c>
      <c r="F17" s="16">
        <f>-SUMIF('1.1 FY2016'!$B:$B,'2.1 Database'!B17,'1.1 FY2016'!$F:$F)</f>
        <v>-104913.8</v>
      </c>
      <c r="G17" s="16">
        <f>-SUMIF('1.2 FY2017'!$B:$B,'2.1 Database'!B17,'1.2 FY2017'!$F:$F)</f>
        <v>-500500</v>
      </c>
      <c r="H17" s="16">
        <f>-SUMIF('1.3 FY2018'!$B:$B,'2.1 Database'!B17,'1.3 FY2018'!$F:$F)</f>
        <v>-143500</v>
      </c>
      <c r="J17" s="31" t="s">
        <v>214</v>
      </c>
      <c r="K17" s="2">
        <f>+COUNTIF('2.2 P&amp;L statement'!$B$4:$B$24,'2.1 Database'!J17)</f>
        <v>1</v>
      </c>
    </row>
    <row r="18" spans="2:11" x14ac:dyDescent="0.25">
      <c r="B18" s="2" t="s">
        <v>114</v>
      </c>
      <c r="C18" s="4" t="str">
        <f>+VLOOKUP($B18,'1.1 FY2016'!$B$5:$E$61,2,FALSE)</f>
        <v>D&amp;A</v>
      </c>
      <c r="D18" s="4">
        <f>+VLOOKUP($B18,'1.1 FY2016'!$B$5:$E$61,3,FALSE)</f>
        <v>111101</v>
      </c>
      <c r="E18" s="4" t="str">
        <f>+VLOOKUP($B18,'1.1 FY2016'!$B$5:$E$61,4,FALSE)</f>
        <v>Not assigned</v>
      </c>
      <c r="F18" s="16">
        <f>-SUMIF('1.1 FY2016'!$B:$B,'2.1 Database'!B18,'1.1 FY2016'!$F:$F)</f>
        <v>-2003262.2180000001</v>
      </c>
      <c r="G18" s="16">
        <f>-SUMIF('1.2 FY2017'!$B:$B,'2.1 Database'!B18,'1.2 FY2017'!$F:$F)</f>
        <v>-1897676.87</v>
      </c>
      <c r="H18" s="16">
        <f>-SUMIF('1.3 FY2018'!$B:$B,'2.1 Database'!B18,'1.3 FY2018'!$F:$F)</f>
        <v>-1875768.159</v>
      </c>
      <c r="J18" s="31" t="s">
        <v>69</v>
      </c>
      <c r="K18" s="2">
        <f>+COUNTIF('2.2 P&amp;L statement'!$B$4:$B$24,'2.1 Database'!J18)</f>
        <v>1</v>
      </c>
    </row>
    <row r="19" spans="2:11" x14ac:dyDescent="0.25">
      <c r="B19" s="2" t="s">
        <v>115</v>
      </c>
      <c r="C19" s="4" t="str">
        <f>+VLOOKUP($B19,'1.1 FY2016'!$B$5:$E$61,2,FALSE)</f>
        <v>D&amp;A</v>
      </c>
      <c r="D19" s="4">
        <f>+VLOOKUP($B19,'1.1 FY2016'!$B$5:$E$61,3,FALSE)</f>
        <v>111101</v>
      </c>
      <c r="E19" s="4" t="str">
        <f>+VLOOKUP($B19,'1.1 FY2016'!$B$5:$E$61,4,FALSE)</f>
        <v>Not assigned</v>
      </c>
      <c r="F19" s="16">
        <f>-SUMIF('1.1 FY2016'!$B:$B,'2.1 Database'!B19,'1.1 FY2016'!$F:$F)</f>
        <v>-41981.296000000002</v>
      </c>
      <c r="G19" s="16">
        <f>-SUMIF('1.2 FY2017'!$B:$B,'2.1 Database'!B19,'1.2 FY2017'!$F:$F)</f>
        <v>-146328.94499999998</v>
      </c>
      <c r="H19" s="16">
        <f>-SUMIF('1.3 FY2018'!$B:$B,'2.1 Database'!B19,'1.3 FY2018'!$F:$F)</f>
        <v>-12593.355</v>
      </c>
      <c r="J19" s="31" t="s">
        <v>69</v>
      </c>
      <c r="K19" s="2">
        <f>+COUNTIF('2.2 P&amp;L statement'!$B$4:$B$24,'2.1 Database'!J19)</f>
        <v>1</v>
      </c>
    </row>
    <row r="20" spans="2:11" x14ac:dyDescent="0.25">
      <c r="B20" s="2" t="s">
        <v>116</v>
      </c>
      <c r="C20" s="4" t="str">
        <f>+VLOOKUP($B20,'1.1 FY2016'!$B$5:$E$61,2,FALSE)</f>
        <v>Corporate recharges</v>
      </c>
      <c r="D20" s="4" t="str">
        <f>+VLOOKUP($B20,'1.1 FY2016'!$B$5:$E$61,3,FALSE)</f>
        <v>1</v>
      </c>
      <c r="E20" s="4" t="str">
        <f>+VLOOKUP($B20,'1.1 FY2016'!$B$5:$E$61,4,FALSE)</f>
        <v>Greeny Ltd</v>
      </c>
      <c r="F20" s="16">
        <f>-SUMIF('1.1 FY2016'!$B:$B,'2.1 Database'!B20,'1.1 FY2016'!$F:$F)</f>
        <v>2156147.4</v>
      </c>
      <c r="G20" s="16">
        <f>-SUMIF('1.2 FY2017'!$B:$B,'2.1 Database'!B20,'1.2 FY2017'!$F:$F)</f>
        <v>1643711.145</v>
      </c>
      <c r="H20" s="16">
        <f>-SUMIF('1.3 FY2018'!$B:$B,'2.1 Database'!B20,'1.3 FY2018'!$F:$F)</f>
        <v>1418521.358</v>
      </c>
      <c r="J20" s="31" t="s">
        <v>215</v>
      </c>
      <c r="K20" s="2">
        <f>+COUNTIF('2.2 P&amp;L statement'!$B$4:$B$24,'2.1 Database'!J20)</f>
        <v>1</v>
      </c>
    </row>
    <row r="21" spans="2:11" x14ac:dyDescent="0.25">
      <c r="B21" s="2" t="s">
        <v>117</v>
      </c>
      <c r="C21" s="4" t="str">
        <f>+VLOOKUP($B21,'1.1 FY2016'!$B$5:$E$61,2,FALSE)</f>
        <v>Corporate recharges</v>
      </c>
      <c r="D21" s="4">
        <f>+VLOOKUP($B21,'1.1 FY2016'!$B$5:$E$61,3,FALSE)</f>
        <v>14</v>
      </c>
      <c r="E21" s="4" t="str">
        <f>+VLOOKUP($B21,'1.1 FY2016'!$B$5:$E$61,4,FALSE)</f>
        <v>Generco Cosmetics Ltd</v>
      </c>
      <c r="F21" s="16">
        <f>-SUMIF('1.1 FY2016'!$B:$B,'2.1 Database'!B21,'1.1 FY2016'!$F:$F)</f>
        <v>291428.55199999997</v>
      </c>
      <c r="G21" s="16">
        <f>-SUMIF('1.2 FY2017'!$B:$B,'2.1 Database'!B21,'1.2 FY2017'!$F:$F)</f>
        <v>0</v>
      </c>
      <c r="H21" s="16">
        <f>-SUMIF('1.3 FY2018'!$B:$B,'2.1 Database'!B21,'1.3 FY2018'!$F:$F)</f>
        <v>0</v>
      </c>
      <c r="J21" s="31" t="s">
        <v>215</v>
      </c>
      <c r="K21" s="2">
        <f>+COUNTIF('2.2 P&amp;L statement'!$B$4:$B$24,'2.1 Database'!J21)</f>
        <v>1</v>
      </c>
    </row>
    <row r="22" spans="2:11" x14ac:dyDescent="0.25">
      <c r="B22" s="2" t="s">
        <v>118</v>
      </c>
      <c r="C22" s="4" t="str">
        <f>+VLOOKUP($B22,'1.1 FY2016'!$B$5:$E$61,2,FALSE)</f>
        <v>Corporate recharges</v>
      </c>
      <c r="D22" s="4">
        <f>+VLOOKUP($B22,'1.1 FY2016'!$B$5:$E$61,3,FALSE)</f>
        <v>1037</v>
      </c>
      <c r="E22" s="4" t="str">
        <f>+VLOOKUP($B22,'1.1 FY2016'!$B$5:$E$61,4,FALSE)</f>
        <v>Generco Canada JSC</v>
      </c>
      <c r="F22" s="16">
        <f>-SUMIF('1.1 FY2016'!$B:$B,'2.1 Database'!B22,'1.1 FY2016'!$F:$F)</f>
        <v>0</v>
      </c>
      <c r="G22" s="16">
        <f>-SUMIF('1.2 FY2017'!$B:$B,'2.1 Database'!B22,'1.2 FY2017'!$F:$F)</f>
        <v>0</v>
      </c>
      <c r="H22" s="16">
        <f>-SUMIF('1.3 FY2018'!$B:$B,'2.1 Database'!B22,'1.3 FY2018'!$F:$F)</f>
        <v>0</v>
      </c>
      <c r="J22" s="31" t="s">
        <v>215</v>
      </c>
      <c r="K22" s="2">
        <f>+COUNTIF('2.2 P&amp;L statement'!$B$4:$B$24,'2.1 Database'!J22)</f>
        <v>1</v>
      </c>
    </row>
    <row r="23" spans="2:11" x14ac:dyDescent="0.25">
      <c r="B23" s="2" t="s">
        <v>119</v>
      </c>
      <c r="C23" s="4" t="str">
        <f>+VLOOKUP($B23,'1.1 FY2016'!$B$5:$E$61,2,FALSE)</f>
        <v>Corporate recharges</v>
      </c>
      <c r="D23" s="4" t="str">
        <f>+VLOOKUP($B23,'1.1 FY2016'!$B$5:$E$61,3,FALSE)</f>
        <v>1087</v>
      </c>
      <c r="E23" s="4" t="str">
        <f>+VLOOKUP($B23,'1.1 FY2016'!$B$5:$E$61,4,FALSE)</f>
        <v>Gener Beauty GmbH</v>
      </c>
      <c r="F23" s="16">
        <f>-SUMIF('1.1 FY2016'!$B:$B,'2.1 Database'!B23,'1.1 FY2016'!$F:$F)</f>
        <v>33736.5</v>
      </c>
      <c r="G23" s="16">
        <f>-SUMIF('1.2 FY2017'!$B:$B,'2.1 Database'!B23,'1.2 FY2017'!$F:$F)</f>
        <v>0</v>
      </c>
      <c r="H23" s="16">
        <f>-SUMIF('1.3 FY2018'!$B:$B,'2.1 Database'!B23,'1.3 FY2018'!$F:$F)</f>
        <v>0</v>
      </c>
      <c r="J23" s="31" t="s">
        <v>215</v>
      </c>
      <c r="K23" s="2">
        <f>+COUNTIF('2.2 P&amp;L statement'!$B$4:$B$24,'2.1 Database'!J23)</f>
        <v>1</v>
      </c>
    </row>
    <row r="24" spans="2:11" x14ac:dyDescent="0.25">
      <c r="B24" s="2" t="s">
        <v>120</v>
      </c>
      <c r="C24" s="4" t="str">
        <f>+VLOOKUP($B24,'1.1 FY2016'!$B$5:$E$61,2,FALSE)</f>
        <v>Corporate recharges</v>
      </c>
      <c r="D24" s="4">
        <f>+VLOOKUP($B24,'1.1 FY2016'!$B$5:$E$61,3,FALSE)</f>
        <v>1009</v>
      </c>
      <c r="E24" s="4" t="str">
        <f>+VLOOKUP($B24,'1.1 FY2016'!$B$5:$E$61,4,FALSE)</f>
        <v>Green Ventures Ltd</v>
      </c>
      <c r="F24" s="16">
        <f>-SUMIF('1.1 FY2016'!$B:$B,'2.1 Database'!B24,'1.1 FY2016'!$F:$F)</f>
        <v>0</v>
      </c>
      <c r="G24" s="16">
        <f>-SUMIF('1.2 FY2017'!$B:$B,'2.1 Database'!B24,'1.2 FY2017'!$F:$F)</f>
        <v>0</v>
      </c>
      <c r="H24" s="16">
        <f>-SUMIF('1.3 FY2018'!$B:$B,'2.1 Database'!B24,'1.3 FY2018'!$F:$F)</f>
        <v>0</v>
      </c>
      <c r="J24" s="31" t="s">
        <v>215</v>
      </c>
      <c r="K24" s="2">
        <f>+COUNTIF('2.2 P&amp;L statement'!$B$4:$B$24,'2.1 Database'!J24)</f>
        <v>1</v>
      </c>
    </row>
    <row r="25" spans="2:11" x14ac:dyDescent="0.25">
      <c r="B25" s="2" t="s">
        <v>121</v>
      </c>
      <c r="C25" s="4" t="str">
        <f>+VLOOKUP($B25,'1.1 FY2016'!$B$5:$E$61,2,FALSE)</f>
        <v>Corporate recharges</v>
      </c>
      <c r="D25" s="4">
        <f>+VLOOKUP($B25,'1.1 FY2016'!$B$5:$E$61,3,FALSE)</f>
        <v>1007</v>
      </c>
      <c r="E25" s="4" t="str">
        <f>+VLOOKUP($B25,'1.1 FY2016'!$B$5:$E$61,4,FALSE)</f>
        <v>Generco Sunshine JSC</v>
      </c>
      <c r="F25" s="16">
        <f>-SUMIF('1.1 FY2016'!$B:$B,'2.1 Database'!B25,'1.1 FY2016'!$F:$F)</f>
        <v>0</v>
      </c>
      <c r="G25" s="16">
        <f>-SUMIF('1.2 FY2017'!$B:$B,'2.1 Database'!B25,'1.2 FY2017'!$F:$F)</f>
        <v>0</v>
      </c>
      <c r="H25" s="16">
        <f>-SUMIF('1.3 FY2018'!$B:$B,'2.1 Database'!B25,'1.3 FY2018'!$F:$F)</f>
        <v>0</v>
      </c>
      <c r="J25" s="31" t="s">
        <v>215</v>
      </c>
      <c r="K25" s="2">
        <f>+COUNTIF('2.2 P&amp;L statement'!$B$4:$B$24,'2.1 Database'!J25)</f>
        <v>1</v>
      </c>
    </row>
    <row r="26" spans="2:11" x14ac:dyDescent="0.25">
      <c r="B26" s="2" t="s">
        <v>122</v>
      </c>
      <c r="C26" s="4" t="str">
        <f>+VLOOKUP($B26,'1.1 FY2016'!$B$5:$E$61,2,FALSE)</f>
        <v>Corporate recharges</v>
      </c>
      <c r="D26" s="4">
        <f>+VLOOKUP($B26,'1.1 FY2016'!$B$5:$E$61,3,FALSE)</f>
        <v>1008</v>
      </c>
      <c r="E26" s="4" t="str">
        <f>+VLOOKUP($B26,'1.1 FY2016'!$B$5:$E$61,4,FALSE)</f>
        <v>Greenco Ltd</v>
      </c>
      <c r="F26" s="16">
        <f>-SUMIF('1.1 FY2016'!$B:$B,'2.1 Database'!B26,'1.1 FY2016'!$F:$F)</f>
        <v>0</v>
      </c>
      <c r="G26" s="16">
        <f>-SUMIF('1.2 FY2017'!$B:$B,'2.1 Database'!B26,'1.2 FY2017'!$F:$F)</f>
        <v>0</v>
      </c>
      <c r="H26" s="16">
        <f>-SUMIF('1.3 FY2018'!$B:$B,'2.1 Database'!B26,'1.3 FY2018'!$F:$F)</f>
        <v>0</v>
      </c>
      <c r="J26" s="31" t="s">
        <v>215</v>
      </c>
      <c r="K26" s="2">
        <f>+COUNTIF('2.2 P&amp;L statement'!$B$4:$B$24,'2.1 Database'!J26)</f>
        <v>1</v>
      </c>
    </row>
    <row r="27" spans="2:11" x14ac:dyDescent="0.25">
      <c r="B27" s="2" t="s">
        <v>123</v>
      </c>
      <c r="C27" s="4" t="str">
        <f>+VLOOKUP($B27,'1.1 FY2016'!$B$5:$E$61,2,FALSE)</f>
        <v>Corporate recharges</v>
      </c>
      <c r="D27" s="4">
        <f>+VLOOKUP($B27,'1.1 FY2016'!$B$5:$E$61,3,FALSE)</f>
        <v>1240</v>
      </c>
      <c r="E27" s="4" t="str">
        <f>+VLOOKUP($B27,'1.1 FY2016'!$B$5:$E$61,4,FALSE)</f>
        <v xml:space="preserve">Generco UK </v>
      </c>
      <c r="F27" s="16">
        <f>-SUMIF('1.1 FY2016'!$B:$B,'2.1 Database'!B27,'1.1 FY2016'!$F:$F)</f>
        <v>199600.4</v>
      </c>
      <c r="G27" s="16">
        <f>-SUMIF('1.2 FY2017'!$B:$B,'2.1 Database'!B27,'1.2 FY2017'!$F:$F)</f>
        <v>10461.36</v>
      </c>
      <c r="H27" s="16">
        <f>-SUMIF('1.3 FY2018'!$B:$B,'2.1 Database'!B27,'1.3 FY2018'!$F:$F)</f>
        <v>0</v>
      </c>
      <c r="J27" s="31" t="s">
        <v>215</v>
      </c>
      <c r="K27" s="2">
        <f>+COUNTIF('2.2 P&amp;L statement'!$B$4:$B$24,'2.1 Database'!J27)</f>
        <v>1</v>
      </c>
    </row>
    <row r="28" spans="2:11" x14ac:dyDescent="0.25">
      <c r="B28" s="2" t="s">
        <v>124</v>
      </c>
      <c r="C28" s="4" t="str">
        <f>+VLOOKUP($B28,'1.1 FY2016'!$B$5:$E$61,2,FALSE)</f>
        <v>Corporate recharges</v>
      </c>
      <c r="D28" s="4">
        <f>+VLOOKUP($B28,'1.1 FY2016'!$B$5:$E$61,3,FALSE)</f>
        <v>111111</v>
      </c>
      <c r="E28" s="4" t="str">
        <f>+VLOOKUP($B28,'1.1 FY2016'!$B$5:$E$61,4,FALSE)</f>
        <v>External</v>
      </c>
      <c r="F28" s="16">
        <f>-SUMIF('1.1 FY2016'!$B:$B,'2.1 Database'!B28,'1.1 FY2016'!$F:$F)</f>
        <v>539141.4</v>
      </c>
      <c r="G28" s="16">
        <f>-SUMIF('1.2 FY2017'!$B:$B,'2.1 Database'!B28,'1.2 FY2017'!$F:$F)</f>
        <v>6785.94</v>
      </c>
      <c r="H28" s="16">
        <f>-SUMIF('1.3 FY2018'!$B:$B,'2.1 Database'!B28,'1.3 FY2018'!$F:$F)</f>
        <v>902857.84299999999</v>
      </c>
      <c r="J28" s="38" t="s">
        <v>215</v>
      </c>
      <c r="K28" s="2">
        <f>+COUNTIF('2.2 P&amp;L statement'!$B$4:$B$24,'2.1 Database'!J28)</f>
        <v>1</v>
      </c>
    </row>
    <row r="29" spans="2:11" x14ac:dyDescent="0.25">
      <c r="B29" s="2" t="s">
        <v>125</v>
      </c>
      <c r="C29" s="4" t="str">
        <f>+VLOOKUP($B29,'1.1 FY2016'!$B$5:$E$61,2,FALSE)</f>
        <v>Other income</v>
      </c>
      <c r="D29" s="4">
        <f>+VLOOKUP($B29,'1.1 FY2016'!$B$5:$E$61,3,FALSE)</f>
        <v>111111</v>
      </c>
      <c r="E29" s="4" t="str">
        <f>+VLOOKUP($B29,'1.1 FY2016'!$B$5:$E$61,4,FALSE)</f>
        <v>External</v>
      </c>
      <c r="F29" s="16">
        <f>-SUMIF('1.1 FY2016'!$B:$B,'2.1 Database'!B29,'1.1 FY2016'!$F:$F)</f>
        <v>57.221999999999994</v>
      </c>
      <c r="G29" s="16">
        <f>-SUMIF('1.2 FY2017'!$B:$B,'2.1 Database'!B29,'1.2 FY2017'!$F:$F)</f>
        <v>-9793.84</v>
      </c>
      <c r="H29" s="16">
        <f>-SUMIF('1.3 FY2018'!$B:$B,'2.1 Database'!B29,'1.3 FY2018'!$F:$F)</f>
        <v>15872.001999999999</v>
      </c>
      <c r="J29" s="31" t="s">
        <v>71</v>
      </c>
      <c r="K29" s="2">
        <f>+COUNTIF('2.2 P&amp;L statement'!$B$4:$B$24,'2.1 Database'!J29)</f>
        <v>1</v>
      </c>
    </row>
    <row r="30" spans="2:11" x14ac:dyDescent="0.25">
      <c r="B30" s="2" t="s">
        <v>126</v>
      </c>
      <c r="C30" s="4" t="str">
        <f>+VLOOKUP($B30,'1.1 FY2016'!$B$5:$E$61,2,FALSE)</f>
        <v>Marketing expenses</v>
      </c>
      <c r="D30" s="4">
        <f>+VLOOKUP($B30,'1.1 FY2016'!$B$5:$E$61,3,FALSE)</f>
        <v>111111</v>
      </c>
      <c r="E30" s="4" t="str">
        <f>+VLOOKUP($B30,'1.1 FY2016'!$B$5:$E$61,4,FALSE)</f>
        <v>External</v>
      </c>
      <c r="F30" s="16">
        <f>-SUMIF('1.1 FY2016'!$B:$B,'2.1 Database'!B30,'1.1 FY2016'!$F:$F)</f>
        <v>-22314.879999999997</v>
      </c>
      <c r="G30" s="16">
        <f>-SUMIF('1.2 FY2017'!$B:$B,'2.1 Database'!B30,'1.2 FY2017'!$F:$F)</f>
        <v>-65947.7</v>
      </c>
      <c r="H30" s="16">
        <f>-SUMIF('1.3 FY2018'!$B:$B,'2.1 Database'!B30,'1.3 FY2018'!$F:$F)</f>
        <v>-57.317999999999998</v>
      </c>
      <c r="J30" s="31" t="s">
        <v>227</v>
      </c>
      <c r="K30" s="2">
        <f>+COUNTIF('2.2 P&amp;L statement'!$B$4:$B$24,'2.1 Database'!J30)</f>
        <v>1</v>
      </c>
    </row>
    <row r="31" spans="2:11" x14ac:dyDescent="0.25">
      <c r="B31" s="2" t="s">
        <v>127</v>
      </c>
      <c r="C31" s="4" t="str">
        <f>+VLOOKUP($B31,'1.1 FY2016'!$B$5:$E$61,2,FALSE)</f>
        <v>Software&amp;IT</v>
      </c>
      <c r="D31" s="4">
        <f>+VLOOKUP($B31,'1.1 FY2016'!$B$5:$E$61,3,FALSE)</f>
        <v>88</v>
      </c>
      <c r="E31" s="4" t="str">
        <f>+VLOOKUP($B31,'1.1 FY2016'!$B$5:$E$61,4,FALSE)</f>
        <v>Generco Ltd</v>
      </c>
      <c r="F31" s="16">
        <f>-SUMIF('1.1 FY2016'!$B:$B,'2.1 Database'!B31,'1.1 FY2016'!$F:$F)</f>
        <v>-204000</v>
      </c>
      <c r="G31" s="16">
        <f>-SUMIF('1.2 FY2017'!$B:$B,'2.1 Database'!B31,'1.2 FY2017'!$F:$F)</f>
        <v>0</v>
      </c>
      <c r="H31" s="16">
        <f>-SUMIF('1.3 FY2018'!$B:$B,'2.1 Database'!B31,'1.3 FY2018'!$F:$F)</f>
        <v>0</v>
      </c>
      <c r="J31" s="31" t="s">
        <v>227</v>
      </c>
      <c r="K31" s="2">
        <f>+COUNTIF('2.2 P&amp;L statement'!$B$4:$B$24,'2.1 Database'!J31)</f>
        <v>1</v>
      </c>
    </row>
    <row r="32" spans="2:11" x14ac:dyDescent="0.25">
      <c r="B32" s="2" t="s">
        <v>128</v>
      </c>
      <c r="C32" s="4" t="str">
        <f>+VLOOKUP($B32,'1.1 FY2016'!$B$5:$E$61,2,FALSE)</f>
        <v>Software&amp;IT</v>
      </c>
      <c r="D32" s="4">
        <f>+VLOOKUP($B32,'1.1 FY2016'!$B$5:$E$61,3,FALSE)</f>
        <v>111111</v>
      </c>
      <c r="E32" s="4" t="str">
        <f>+VLOOKUP($B32,'1.1 FY2016'!$B$5:$E$61,4,FALSE)</f>
        <v>External</v>
      </c>
      <c r="F32" s="16">
        <f>-SUMIF('1.1 FY2016'!$B:$B,'2.1 Database'!B32,'1.1 FY2016'!$F:$F)</f>
        <v>-138.41399999999999</v>
      </c>
      <c r="G32" s="16">
        <f>-SUMIF('1.2 FY2017'!$B:$B,'2.1 Database'!B32,'1.2 FY2017'!$F:$F)</f>
        <v>-5138.91</v>
      </c>
      <c r="H32" s="16">
        <f>-SUMIF('1.3 FY2018'!$B:$B,'2.1 Database'!B32,'1.3 FY2018'!$F:$F)</f>
        <v>-19198.66</v>
      </c>
      <c r="J32" s="31" t="s">
        <v>227</v>
      </c>
      <c r="K32" s="2">
        <f>+COUNTIF('2.2 P&amp;L statement'!$B$4:$B$24,'2.1 Database'!J32)</f>
        <v>1</v>
      </c>
    </row>
    <row r="33" spans="2:11" x14ac:dyDescent="0.25">
      <c r="B33" s="2" t="s">
        <v>129</v>
      </c>
      <c r="C33" s="4" t="str">
        <f>+VLOOKUP($B33,'1.1 FY2016'!$B$5:$E$61,2,FALSE)</f>
        <v>Leasings</v>
      </c>
      <c r="D33" s="4">
        <f>+VLOOKUP($B33,'1.1 FY2016'!$B$5:$E$61,3,FALSE)</f>
        <v>111111</v>
      </c>
      <c r="E33" s="4" t="str">
        <f>+VLOOKUP($B33,'1.1 FY2016'!$B$5:$E$61,4,FALSE)</f>
        <v>External</v>
      </c>
      <c r="F33" s="16">
        <f>-SUMIF('1.1 FY2016'!$B:$B,'2.1 Database'!B33,'1.1 FY2016'!$F:$F)</f>
        <v>-1127445.872</v>
      </c>
      <c r="G33" s="16">
        <f>-SUMIF('1.2 FY2017'!$B:$B,'2.1 Database'!B33,'1.2 FY2017'!$F:$F)</f>
        <v>-1055381.4750000001</v>
      </c>
      <c r="H33" s="16">
        <f>-SUMIF('1.3 FY2018'!$B:$B,'2.1 Database'!B33,'1.3 FY2018'!$F:$F)</f>
        <v>172933.44899999999</v>
      </c>
      <c r="J33" s="31" t="s">
        <v>216</v>
      </c>
      <c r="K33" s="2">
        <f>+COUNTIF('2.2 P&amp;L statement'!$B$4:$B$24,'2.1 Database'!J33)</f>
        <v>1</v>
      </c>
    </row>
    <row r="34" spans="2:11" x14ac:dyDescent="0.25">
      <c r="B34" s="2" t="s">
        <v>130</v>
      </c>
      <c r="C34" s="4" t="str">
        <f>+VLOOKUP($B34,'1.1 FY2016'!$B$5:$E$61,2,FALSE)</f>
        <v>Service expenses</v>
      </c>
      <c r="D34" s="4" t="str">
        <f>+VLOOKUP($B34,'1.1 FY2016'!$B$5:$E$61,3,FALSE)</f>
        <v>43</v>
      </c>
      <c r="E34" s="4" t="str">
        <f>+VLOOKUP($B34,'1.1 FY2016'!$B$5:$E$61,4,FALSE)</f>
        <v>Greeny France SL</v>
      </c>
      <c r="F34" s="16">
        <f>-SUMIF('1.1 FY2016'!$B:$B,'2.1 Database'!B34,'1.1 FY2016'!$F:$F)</f>
        <v>-133722</v>
      </c>
      <c r="G34" s="16">
        <f>-SUMIF('1.2 FY2017'!$B:$B,'2.1 Database'!B34,'1.2 FY2017'!$F:$F)</f>
        <v>0</v>
      </c>
      <c r="H34" s="16">
        <f>-SUMIF('1.3 FY2018'!$B:$B,'2.1 Database'!B34,'1.3 FY2018'!$F:$F)</f>
        <v>0</v>
      </c>
      <c r="J34" s="31" t="s">
        <v>217</v>
      </c>
      <c r="K34" s="2">
        <f>+COUNTIF('2.2 P&amp;L statement'!$B$4:$B$24,'2.1 Database'!J34)</f>
        <v>1</v>
      </c>
    </row>
    <row r="35" spans="2:11" x14ac:dyDescent="0.25">
      <c r="B35" s="2" t="s">
        <v>131</v>
      </c>
      <c r="C35" s="4" t="str">
        <f>+VLOOKUP($B35,'1.1 FY2016'!$B$5:$E$61,2,FALSE)</f>
        <v>Service expenses</v>
      </c>
      <c r="D35" s="4" t="str">
        <f>+VLOOKUP($B35,'1.1 FY2016'!$B$5:$E$61,3,FALSE)</f>
        <v>2240</v>
      </c>
      <c r="E35" s="4" t="str">
        <f>+VLOOKUP($B35,'1.1 FY2016'!$B$5:$E$61,4,FALSE)</f>
        <v>Greeny Germany GmbH</v>
      </c>
      <c r="F35" s="16">
        <f>-SUMIF('1.1 FY2016'!$B:$B,'2.1 Database'!B35,'1.1 FY2016'!$F:$F)</f>
        <v>-328061.886</v>
      </c>
      <c r="G35" s="16">
        <f>-SUMIF('1.2 FY2017'!$B:$B,'2.1 Database'!B35,'1.2 FY2017'!$F:$F)</f>
        <v>-430845.34499999997</v>
      </c>
      <c r="H35" s="16">
        <f>-SUMIF('1.3 FY2018'!$B:$B,'2.1 Database'!B35,'1.3 FY2018'!$F:$F)</f>
        <v>0</v>
      </c>
      <c r="J35" s="31" t="s">
        <v>217</v>
      </c>
      <c r="K35" s="2">
        <f>+COUNTIF('2.2 P&amp;L statement'!$B$4:$B$24,'2.1 Database'!J35)</f>
        <v>1</v>
      </c>
    </row>
    <row r="36" spans="2:11" x14ac:dyDescent="0.25">
      <c r="B36" s="2" t="s">
        <v>132</v>
      </c>
      <c r="C36" s="4" t="str">
        <f>+VLOOKUP($B36,'1.1 FY2016'!$B$5:$E$61,2,FALSE)</f>
        <v>Service expenses</v>
      </c>
      <c r="D36" s="4">
        <f>+VLOOKUP($B36,'1.1 FY2016'!$B$5:$E$61,3,FALSE)</f>
        <v>111111</v>
      </c>
      <c r="E36" s="4" t="str">
        <f>+VLOOKUP($B36,'1.1 FY2016'!$B$5:$E$61,4,FALSE)</f>
        <v>External</v>
      </c>
      <c r="F36" s="16">
        <f>-SUMIF('1.1 FY2016'!$B:$B,'2.1 Database'!B36,'1.1 FY2016'!$F:$F)</f>
        <v>-2081304.3219999997</v>
      </c>
      <c r="G36" s="16">
        <f>-SUMIF('1.2 FY2017'!$B:$B,'2.1 Database'!B36,'1.2 FY2017'!$F:$F)</f>
        <v>-1130021</v>
      </c>
      <c r="H36" s="16">
        <f>-SUMIF('1.3 FY2018'!$B:$B,'2.1 Database'!B36,'1.3 FY2018'!$F:$F)</f>
        <v>-1481408.47</v>
      </c>
      <c r="J36" s="31" t="s">
        <v>217</v>
      </c>
      <c r="K36" s="2">
        <f>+COUNTIF('2.2 P&amp;L statement'!$B$4:$B$24,'2.1 Database'!J36)</f>
        <v>1</v>
      </c>
    </row>
    <row r="37" spans="2:11" x14ac:dyDescent="0.25">
      <c r="B37" s="2" t="s">
        <v>133</v>
      </c>
      <c r="C37" s="4" t="str">
        <f>+VLOOKUP($B37,'1.1 FY2016'!$B$5:$E$61,2,FALSE)</f>
        <v>Charges and contributions</v>
      </c>
      <c r="D37" s="4">
        <f>+VLOOKUP($B37,'1.1 FY2016'!$B$5:$E$61,3,FALSE)</f>
        <v>111111</v>
      </c>
      <c r="E37" s="4" t="str">
        <f>+VLOOKUP($B37,'1.1 FY2016'!$B$5:$E$61,4,FALSE)</f>
        <v>External</v>
      </c>
      <c r="F37" s="16">
        <f>-SUMIF('1.1 FY2016'!$B:$B,'2.1 Database'!B37,'1.1 FY2016'!$F:$F)</f>
        <v>-33410.031999999999</v>
      </c>
      <c r="G37" s="16">
        <f>-SUMIF('1.2 FY2017'!$B:$B,'2.1 Database'!B37,'1.2 FY2017'!$F:$F)</f>
        <v>-7293.5450000000001</v>
      </c>
      <c r="H37" s="16">
        <f>-SUMIF('1.3 FY2018'!$B:$B,'2.1 Database'!B37,'1.3 FY2018'!$F:$F)</f>
        <v>-40048.799999999996</v>
      </c>
      <c r="J37" s="31" t="s">
        <v>227</v>
      </c>
      <c r="K37" s="2">
        <f>+COUNTIF('2.2 P&amp;L statement'!$B$4:$B$24,'2.1 Database'!J37)</f>
        <v>1</v>
      </c>
    </row>
    <row r="38" spans="2:11" x14ac:dyDescent="0.25">
      <c r="B38" s="2" t="s">
        <v>134</v>
      </c>
      <c r="C38" s="4" t="str">
        <f>+VLOOKUP($B38,'1.1 FY2016'!$B$5:$E$61,2,FALSE)</f>
        <v>Insurance expenses</v>
      </c>
      <c r="D38" s="4">
        <f>+VLOOKUP($B38,'1.1 FY2016'!$B$5:$E$61,3,FALSE)</f>
        <v>111111</v>
      </c>
      <c r="E38" s="4" t="str">
        <f>+VLOOKUP($B38,'1.1 FY2016'!$B$5:$E$61,4,FALSE)</f>
        <v>External</v>
      </c>
      <c r="F38" s="16">
        <f>-SUMIF('1.1 FY2016'!$B:$B,'2.1 Database'!B38,'1.1 FY2016'!$F:$F)</f>
        <v>-213090.85199999998</v>
      </c>
      <c r="G38" s="16">
        <f>-SUMIF('1.2 FY2017'!$B:$B,'2.1 Database'!B38,'1.2 FY2017'!$F:$F)</f>
        <v>-48468.665000000001</v>
      </c>
      <c r="H38" s="16">
        <f>-SUMIF('1.3 FY2018'!$B:$B,'2.1 Database'!B38,'1.3 FY2018'!$F:$F)</f>
        <v>-64039.82699999999</v>
      </c>
      <c r="J38" s="31" t="s">
        <v>227</v>
      </c>
      <c r="K38" s="2">
        <f>+COUNTIF('2.2 P&amp;L statement'!$B$4:$B$24,'2.1 Database'!J38)</f>
        <v>1</v>
      </c>
    </row>
    <row r="39" spans="2:11" x14ac:dyDescent="0.25">
      <c r="B39" s="2" t="s">
        <v>135</v>
      </c>
      <c r="C39" s="4" t="str">
        <f>+VLOOKUP($B39,'1.1 FY2016'!$B$5:$E$61,2,FALSE)</f>
        <v>Travel expenses</v>
      </c>
      <c r="D39" s="4">
        <f>+VLOOKUP($B39,'1.1 FY2016'!$B$5:$E$61,3,FALSE)</f>
        <v>111111</v>
      </c>
      <c r="E39" s="4" t="str">
        <f>+VLOOKUP($B39,'1.1 FY2016'!$B$5:$E$61,4,FALSE)</f>
        <v>External</v>
      </c>
      <c r="F39" s="16">
        <f>-SUMIF('1.1 FY2016'!$B:$B,'2.1 Database'!B39,'1.1 FY2016'!$F:$F)</f>
        <v>-1813525.004</v>
      </c>
      <c r="G39" s="16">
        <f>-SUMIF('1.2 FY2017'!$B:$B,'2.1 Database'!B39,'1.2 FY2017'!$F:$F)</f>
        <v>-2393259.19</v>
      </c>
      <c r="H39" s="16">
        <f>-SUMIF('1.3 FY2018'!$B:$B,'2.1 Database'!B39,'1.3 FY2018'!$F:$F)</f>
        <v>-2514431.8869999996</v>
      </c>
      <c r="J39" s="31" t="s">
        <v>218</v>
      </c>
      <c r="K39" s="2">
        <f>+COUNTIF('2.2 P&amp;L statement'!$B$4:$B$24,'2.1 Database'!J39)</f>
        <v>1</v>
      </c>
    </row>
    <row r="40" spans="2:11" x14ac:dyDescent="0.25">
      <c r="B40" s="2" t="s">
        <v>136</v>
      </c>
      <c r="C40" s="4" t="str">
        <f>+VLOOKUP($B40,'1.1 FY2016'!$B$5:$E$61,2,FALSE)</f>
        <v>Utility expenses</v>
      </c>
      <c r="D40" s="4">
        <f>+VLOOKUP($B40,'1.1 FY2016'!$B$5:$E$61,3,FALSE)</f>
        <v>111111</v>
      </c>
      <c r="E40" s="4" t="str">
        <f>+VLOOKUP($B40,'1.1 FY2016'!$B$5:$E$61,4,FALSE)</f>
        <v>External</v>
      </c>
      <c r="F40" s="16">
        <f>-SUMIF('1.1 FY2016'!$B:$B,'2.1 Database'!B40,'1.1 FY2016'!$F:$F)</f>
        <v>-5552.2</v>
      </c>
      <c r="G40" s="16">
        <f>-SUMIF('1.2 FY2017'!$B:$B,'2.1 Database'!B40,'1.2 FY2017'!$F:$F)</f>
        <v>-23069.654999999999</v>
      </c>
      <c r="H40" s="16">
        <f>-SUMIF('1.3 FY2018'!$B:$B,'2.1 Database'!B40,'1.3 FY2018'!$F:$F)</f>
        <v>-4194.2999999999993</v>
      </c>
      <c r="J40" s="31" t="s">
        <v>227</v>
      </c>
      <c r="K40" s="2">
        <f>+COUNTIF('2.2 P&amp;L statement'!$B$4:$B$24,'2.1 Database'!J40)</f>
        <v>1</v>
      </c>
    </row>
    <row r="41" spans="2:11" x14ac:dyDescent="0.25">
      <c r="B41" s="2" t="s">
        <v>137</v>
      </c>
      <c r="C41" s="4" t="str">
        <f>+VLOOKUP($B41,'1.1 FY2016'!$B$5:$E$61,2,FALSE)</f>
        <v>Legal expenses</v>
      </c>
      <c r="D41" s="4">
        <f>+VLOOKUP($B41,'1.1 FY2016'!$B$5:$E$61,3,FALSE)</f>
        <v>111111</v>
      </c>
      <c r="E41" s="4" t="str">
        <f>+VLOOKUP($B41,'1.1 FY2016'!$B$5:$E$61,4,FALSE)</f>
        <v>External</v>
      </c>
      <c r="F41" s="16">
        <f>-SUMIF('1.1 FY2016'!$B:$B,'2.1 Database'!B41,'1.1 FY2016'!$F:$F)</f>
        <v>-43868.975999999995</v>
      </c>
      <c r="G41" s="16">
        <f>-SUMIF('1.2 FY2017'!$B:$B,'2.1 Database'!B41,'1.2 FY2017'!$F:$F)</f>
        <v>-208366.935</v>
      </c>
      <c r="H41" s="16">
        <f>-SUMIF('1.3 FY2018'!$B:$B,'2.1 Database'!B41,'1.3 FY2018'!$F:$F)</f>
        <v>-106525.708</v>
      </c>
      <c r="J41" s="31" t="s">
        <v>227</v>
      </c>
      <c r="K41" s="2">
        <f>+COUNTIF('2.2 P&amp;L statement'!$B$4:$B$24,'2.1 Database'!J41)</f>
        <v>1</v>
      </c>
    </row>
    <row r="42" spans="2:11" x14ac:dyDescent="0.25">
      <c r="B42" s="2" t="s">
        <v>138</v>
      </c>
      <c r="C42" s="4" t="str">
        <f>+VLOOKUP($B42,'1.1 FY2016'!$B$5:$E$61,2,FALSE)</f>
        <v>Misc costs</v>
      </c>
      <c r="D42" s="4">
        <f>+VLOOKUP($B42,'1.1 FY2016'!$B$5:$E$61,3,FALSE)</f>
        <v>111101</v>
      </c>
      <c r="E42" s="4" t="str">
        <f>+VLOOKUP($B42,'1.1 FY2016'!$B$5:$E$61,4,FALSE)</f>
        <v>Not assigned</v>
      </c>
      <c r="F42" s="16">
        <f>-SUMIF('1.1 FY2016'!$B:$B,'2.1 Database'!B42,'1.1 FY2016'!$F:$F)</f>
        <v>-10934.671999999999</v>
      </c>
      <c r="G42" s="16">
        <f>-SUMIF('1.2 FY2017'!$B:$B,'2.1 Database'!B42,'1.2 FY2017'!$F:$F)</f>
        <v>-20323.309999999998</v>
      </c>
      <c r="H42" s="16">
        <f>-SUMIF('1.3 FY2018'!$B:$B,'2.1 Database'!B42,'1.3 FY2018'!$F:$F)</f>
        <v>-109811.284</v>
      </c>
      <c r="J42" s="31" t="s">
        <v>227</v>
      </c>
      <c r="K42" s="2">
        <f>+COUNTIF('2.2 P&amp;L statement'!$B$4:$B$24,'2.1 Database'!J42)</f>
        <v>1</v>
      </c>
    </row>
    <row r="43" spans="2:11" x14ac:dyDescent="0.25">
      <c r="B43" s="2" t="s">
        <v>139</v>
      </c>
      <c r="C43" s="4" t="str">
        <f>+VLOOKUP($B43,'1.1 FY2016'!$B$5:$E$61,2,FALSE)</f>
        <v>Consulting fees</v>
      </c>
      <c r="D43" s="4">
        <f>+VLOOKUP($B43,'1.1 FY2016'!$B$5:$E$61,3,FALSE)</f>
        <v>111111</v>
      </c>
      <c r="E43" s="4" t="str">
        <f>+VLOOKUP($B43,'1.1 FY2016'!$B$5:$E$61,4,FALSE)</f>
        <v>External</v>
      </c>
      <c r="F43" s="16">
        <f>-SUMIF('1.1 FY2016'!$B:$B,'2.1 Database'!B43,'1.1 FY2016'!$F:$F)</f>
        <v>-20400</v>
      </c>
      <c r="G43" s="16">
        <f>-SUMIF('1.2 FY2017'!$B:$B,'2.1 Database'!B43,'1.2 FY2017'!$F:$F)</f>
        <v>-169489</v>
      </c>
      <c r="H43" s="16">
        <f>-SUMIF('1.3 FY2018'!$B:$B,'2.1 Database'!B43,'1.3 FY2018'!$F:$F)</f>
        <v>-61111.483999999997</v>
      </c>
      <c r="J43" s="31" t="s">
        <v>227</v>
      </c>
      <c r="K43" s="2">
        <f>+COUNTIF('2.2 P&amp;L statement'!$B$4:$B$24,'2.1 Database'!J43)</f>
        <v>1</v>
      </c>
    </row>
    <row r="44" spans="2:11" x14ac:dyDescent="0.25">
      <c r="B44" s="2" t="s">
        <v>140</v>
      </c>
      <c r="C44" s="4" t="str">
        <f>+VLOOKUP($B44,'1.1 FY2016'!$B$5:$E$61,2,FALSE)</f>
        <v>Misc extraordinary expenses</v>
      </c>
      <c r="D44" s="4">
        <f>+VLOOKUP($B44,'1.1 FY2016'!$B$5:$E$61,3,FALSE)</f>
        <v>105</v>
      </c>
      <c r="E44" s="4" t="str">
        <f>+VLOOKUP($B44,'1.1 FY2016'!$B$5:$E$61,4,FALSE)</f>
        <v>Generco Healthcare Ltd</v>
      </c>
      <c r="F44" s="16">
        <f>-SUMIF('1.1 FY2016'!$B:$B,'2.1 Database'!B44,'1.1 FY2016'!$F:$F)</f>
        <v>0</v>
      </c>
      <c r="G44" s="16">
        <f>-SUMIF('1.2 FY2017'!$B:$B,'2.1 Database'!B44,'1.2 FY2017'!$F:$F)</f>
        <v>0</v>
      </c>
      <c r="H44" s="16">
        <f>-SUMIF('1.3 FY2018'!$B:$B,'2.1 Database'!B44,'1.3 FY2018'!$F:$F)</f>
        <v>-1684415.2999999998</v>
      </c>
      <c r="J44" s="31" t="s">
        <v>227</v>
      </c>
      <c r="K44" s="2">
        <f>+COUNTIF('2.2 P&amp;L statement'!$B$4:$B$24,'2.1 Database'!J44)</f>
        <v>1</v>
      </c>
    </row>
    <row r="45" spans="2:11" x14ac:dyDescent="0.25">
      <c r="B45" s="2" t="s">
        <v>141</v>
      </c>
      <c r="C45" s="4" t="str">
        <f>+VLOOKUP($B45,'1.1 FY2016'!$B$5:$E$61,2,FALSE)</f>
        <v>Misc extraordinary expenses</v>
      </c>
      <c r="D45" s="4">
        <f>+VLOOKUP($B45,'1.1 FY2016'!$B$5:$E$61,3,FALSE)</f>
        <v>111111</v>
      </c>
      <c r="E45" s="4" t="str">
        <f>+VLOOKUP($B45,'1.1 FY2016'!$B$5:$E$61,4,FALSE)</f>
        <v>External</v>
      </c>
      <c r="F45" s="16">
        <f>-SUMIF('1.1 FY2016'!$B:$B,'2.1 Database'!B45,'1.1 FY2016'!$F:$F)</f>
        <v>-563918.152</v>
      </c>
      <c r="G45" s="16">
        <f>-SUMIF('1.2 FY2017'!$B:$B,'2.1 Database'!B45,'1.2 FY2017'!$F:$F)</f>
        <v>-638869.13</v>
      </c>
      <c r="H45" s="16">
        <f>-SUMIF('1.3 FY2018'!$B:$B,'2.1 Database'!B45,'1.3 FY2018'!$F:$F)</f>
        <v>-575626.2649999999</v>
      </c>
      <c r="J45" s="31" t="s">
        <v>227</v>
      </c>
      <c r="K45" s="2">
        <f>+COUNTIF('2.2 P&amp;L statement'!$B$4:$B$24,'2.1 Database'!J45)</f>
        <v>1</v>
      </c>
    </row>
    <row r="46" spans="2:11" x14ac:dyDescent="0.25">
      <c r="B46" s="2" t="s">
        <v>142</v>
      </c>
      <c r="C46" s="4" t="str">
        <f>+VLOOKUP($B46,'1.1 FY2016'!$B$5:$E$61,2,FALSE)</f>
        <v>Difference from eliminations</v>
      </c>
      <c r="D46" s="4">
        <f>+VLOOKUP($B46,'1.1 FY2016'!$B$5:$E$61,3,FALSE)</f>
        <v>1009</v>
      </c>
      <c r="E46" s="4" t="str">
        <f>+VLOOKUP($B46,'1.1 FY2016'!$B$5:$E$61,4,FALSE)</f>
        <v>Green Ventures Ltd</v>
      </c>
      <c r="F46" s="16">
        <f>-SUMIF('1.1 FY2016'!$B:$B,'2.1 Database'!B46,'1.1 FY2016'!$F:$F)</f>
        <v>0</v>
      </c>
      <c r="G46" s="16">
        <f>-SUMIF('1.2 FY2017'!$B:$B,'2.1 Database'!B46,'1.2 FY2017'!$F:$F)</f>
        <v>0</v>
      </c>
      <c r="H46" s="16">
        <f>-SUMIF('1.3 FY2018'!$B:$B,'2.1 Database'!B46,'1.3 FY2018'!$F:$F)</f>
        <v>0</v>
      </c>
      <c r="J46" s="31">
        <v>0</v>
      </c>
      <c r="K46" s="2">
        <f>+COUNTIF('2.2 P&amp;L statement'!$B$4:$B$24,'2.1 Database'!J46)</f>
        <v>0</v>
      </c>
    </row>
    <row r="47" spans="2:11" x14ac:dyDescent="0.25">
      <c r="B47" s="2" t="s">
        <v>143</v>
      </c>
      <c r="C47" s="4" t="str">
        <f>+VLOOKUP($B47,'1.1 FY2016'!$B$5:$E$61,2,FALSE)</f>
        <v>Difference from eliminations</v>
      </c>
      <c r="D47" s="4">
        <f>+VLOOKUP($B47,'1.1 FY2016'!$B$5:$E$61,3,FALSE)</f>
        <v>1007</v>
      </c>
      <c r="E47" s="4" t="str">
        <f>+VLOOKUP($B47,'1.1 FY2016'!$B$5:$E$61,4,FALSE)</f>
        <v>Generco Sunshine JSC</v>
      </c>
      <c r="F47" s="16">
        <f>-SUMIF('1.1 FY2016'!$B:$B,'2.1 Database'!B47,'1.1 FY2016'!$F:$F)</f>
        <v>0</v>
      </c>
      <c r="G47" s="16">
        <f>-SUMIF('1.2 FY2017'!$B:$B,'2.1 Database'!B47,'1.2 FY2017'!$F:$F)</f>
        <v>0</v>
      </c>
      <c r="H47" s="16">
        <f>-SUMIF('1.3 FY2018'!$B:$B,'2.1 Database'!B47,'1.3 FY2018'!$F:$F)</f>
        <v>0</v>
      </c>
      <c r="J47" s="31">
        <v>0</v>
      </c>
      <c r="K47" s="2">
        <f>+COUNTIF('2.2 P&amp;L statement'!$B$4:$B$24,'2.1 Database'!J47)</f>
        <v>0</v>
      </c>
    </row>
    <row r="48" spans="2:11" x14ac:dyDescent="0.25">
      <c r="B48" s="2" t="s">
        <v>144</v>
      </c>
      <c r="C48" s="4" t="str">
        <f>+VLOOKUP($B48,'1.1 FY2016'!$B$5:$E$61,2,FALSE)</f>
        <v>Difference from eliminations</v>
      </c>
      <c r="D48" s="4">
        <f>+VLOOKUP($B48,'1.1 FY2016'!$B$5:$E$61,3,FALSE)</f>
        <v>1008</v>
      </c>
      <c r="E48" s="4" t="str">
        <f>+VLOOKUP($B48,'1.1 FY2016'!$B$5:$E$61,4,FALSE)</f>
        <v>Greenco Ltd</v>
      </c>
      <c r="F48" s="16">
        <f>-SUMIF('1.1 FY2016'!$B:$B,'2.1 Database'!B48,'1.1 FY2016'!$F:$F)</f>
        <v>0</v>
      </c>
      <c r="G48" s="16">
        <f>-SUMIF('1.2 FY2017'!$B:$B,'2.1 Database'!B48,'1.2 FY2017'!$F:$F)</f>
        <v>0</v>
      </c>
      <c r="H48" s="16">
        <f>-SUMIF('1.3 FY2018'!$B:$B,'2.1 Database'!B48,'1.3 FY2018'!$F:$F)</f>
        <v>0</v>
      </c>
      <c r="J48" s="31">
        <v>0</v>
      </c>
      <c r="K48" s="2">
        <f>+COUNTIF('2.2 P&amp;L statement'!$B$4:$B$24,'2.1 Database'!J48)</f>
        <v>0</v>
      </c>
    </row>
    <row r="49" spans="2:11" x14ac:dyDescent="0.25">
      <c r="B49" s="2" t="s">
        <v>145</v>
      </c>
      <c r="C49" s="4" t="str">
        <f>+VLOOKUP($B49,'1.1 FY2016'!$B$5:$E$61,2,FALSE)</f>
        <v>Interest income</v>
      </c>
      <c r="D49" s="4">
        <f>+VLOOKUP($B49,'1.1 FY2016'!$B$5:$E$61,3,FALSE)</f>
        <v>1009</v>
      </c>
      <c r="E49" s="4" t="str">
        <f>+VLOOKUP($B49,'1.1 FY2016'!$B$5:$E$61,4,FALSE)</f>
        <v>Green Ventures Ltd</v>
      </c>
      <c r="F49" s="16">
        <f>-SUMIF('1.1 FY2016'!$B:$B,'2.1 Database'!B49,'1.1 FY2016'!$F:$F)</f>
        <v>0</v>
      </c>
      <c r="G49" s="16">
        <f>-SUMIF('1.2 FY2017'!$B:$B,'2.1 Database'!B49,'1.2 FY2017'!$F:$F)</f>
        <v>0</v>
      </c>
      <c r="H49" s="16">
        <f>-SUMIF('1.3 FY2018'!$B:$B,'2.1 Database'!B49,'1.3 FY2018'!$F:$F)</f>
        <v>0</v>
      </c>
      <c r="J49" s="31" t="s">
        <v>219</v>
      </c>
      <c r="K49" s="2">
        <f>+COUNTIF('2.2 P&amp;L statement'!$B$4:$B$24,'2.1 Database'!J49)</f>
        <v>1</v>
      </c>
    </row>
    <row r="50" spans="2:11" x14ac:dyDescent="0.25">
      <c r="B50" s="2" t="s">
        <v>146</v>
      </c>
      <c r="C50" s="4" t="str">
        <f>+VLOOKUP($B50,'1.1 FY2016'!$B$5:$E$61,2,FALSE)</f>
        <v>Interest income</v>
      </c>
      <c r="D50" s="4">
        <f>+VLOOKUP($B50,'1.1 FY2016'!$B$5:$E$61,3,FALSE)</f>
        <v>1007</v>
      </c>
      <c r="E50" s="4" t="str">
        <f>+VLOOKUP($B50,'1.1 FY2016'!$B$5:$E$61,4,FALSE)</f>
        <v>Generco Sunshine JSC</v>
      </c>
      <c r="F50" s="16">
        <f>-SUMIF('1.1 FY2016'!$B:$B,'2.1 Database'!B50,'1.1 FY2016'!$F:$F)</f>
        <v>0</v>
      </c>
      <c r="G50" s="16">
        <f>-SUMIF('1.2 FY2017'!$B:$B,'2.1 Database'!B50,'1.2 FY2017'!$F:$F)</f>
        <v>0</v>
      </c>
      <c r="H50" s="16">
        <f>-SUMIF('1.3 FY2018'!$B:$B,'2.1 Database'!B50,'1.3 FY2018'!$F:$F)</f>
        <v>0</v>
      </c>
      <c r="J50" s="31" t="s">
        <v>219</v>
      </c>
      <c r="K50" s="2">
        <f>+COUNTIF('2.2 P&amp;L statement'!$B$4:$B$24,'2.1 Database'!J50)</f>
        <v>1</v>
      </c>
    </row>
    <row r="51" spans="2:11" x14ac:dyDescent="0.25">
      <c r="B51" s="2" t="s">
        <v>147</v>
      </c>
      <c r="C51" s="4" t="str">
        <f>+VLOOKUP($B51,'1.1 FY2016'!$B$5:$E$61,2,FALSE)</f>
        <v>Interest income</v>
      </c>
      <c r="D51" s="4">
        <f>+VLOOKUP($B51,'1.1 FY2016'!$B$5:$E$61,3,FALSE)</f>
        <v>1008</v>
      </c>
      <c r="E51" s="4" t="str">
        <f>+VLOOKUP($B51,'1.1 FY2016'!$B$5:$E$61,4,FALSE)</f>
        <v>Greenco Ltd</v>
      </c>
      <c r="F51" s="16">
        <f>-SUMIF('1.1 FY2016'!$B:$B,'2.1 Database'!B51,'1.1 FY2016'!$F:$F)</f>
        <v>0</v>
      </c>
      <c r="G51" s="16">
        <f>-SUMIF('1.2 FY2017'!$B:$B,'2.1 Database'!B51,'1.2 FY2017'!$F:$F)</f>
        <v>0</v>
      </c>
      <c r="H51" s="16">
        <f>-SUMIF('1.3 FY2018'!$B:$B,'2.1 Database'!B51,'1.3 FY2018'!$F:$F)</f>
        <v>0</v>
      </c>
      <c r="J51" s="31" t="s">
        <v>219</v>
      </c>
      <c r="K51" s="2">
        <f>+COUNTIF('2.2 P&amp;L statement'!$B$4:$B$24,'2.1 Database'!J51)</f>
        <v>1</v>
      </c>
    </row>
    <row r="52" spans="2:11" x14ac:dyDescent="0.25">
      <c r="B52" s="2" t="s">
        <v>148</v>
      </c>
      <c r="C52" s="4" t="str">
        <f>+VLOOKUP($B52,'1.1 FY2016'!$B$5:$E$61,2,FALSE)</f>
        <v>Interest income</v>
      </c>
      <c r="D52" s="4">
        <f>+VLOOKUP($B52,'1.1 FY2016'!$B$5:$E$61,3,FALSE)</f>
        <v>1240</v>
      </c>
      <c r="E52" s="4" t="str">
        <f>+VLOOKUP($B52,'1.1 FY2016'!$B$5:$E$61,4,FALSE)</f>
        <v xml:space="preserve">Generco UK </v>
      </c>
      <c r="F52" s="16">
        <f>-SUMIF('1.1 FY2016'!$B:$B,'2.1 Database'!B52,'1.1 FY2016'!$F:$F)</f>
        <v>35810.228000000003</v>
      </c>
      <c r="G52" s="16">
        <f>-SUMIF('1.2 FY2017'!$B:$B,'2.1 Database'!B52,'1.2 FY2017'!$F:$F)</f>
        <v>34224.959999999999</v>
      </c>
      <c r="H52" s="16">
        <f>-SUMIF('1.3 FY2018'!$B:$B,'2.1 Database'!B52,'1.3 FY2018'!$F:$F)</f>
        <v>0</v>
      </c>
      <c r="J52" s="31" t="s">
        <v>219</v>
      </c>
      <c r="K52" s="2">
        <f>+COUNTIF('2.2 P&amp;L statement'!$B$4:$B$24,'2.1 Database'!J52)</f>
        <v>1</v>
      </c>
    </row>
    <row r="53" spans="2:11" x14ac:dyDescent="0.25">
      <c r="B53" s="2" t="s">
        <v>149</v>
      </c>
      <c r="C53" s="4" t="str">
        <f>+VLOOKUP($B53,'1.1 FY2016'!$B$5:$E$61,2,FALSE)</f>
        <v>Interest income</v>
      </c>
      <c r="D53" s="4">
        <f>+VLOOKUP($B53,'1.1 FY2016'!$B$5:$E$61,3,FALSE)</f>
        <v>111111</v>
      </c>
      <c r="E53" s="4" t="str">
        <f>+VLOOKUP($B53,'1.1 FY2016'!$B$5:$E$61,4,FALSE)</f>
        <v>External</v>
      </c>
      <c r="F53" s="16">
        <f>-SUMIF('1.1 FY2016'!$B:$B,'2.1 Database'!B53,'1.1 FY2016'!$F:$F)</f>
        <v>51927.417999999998</v>
      </c>
      <c r="G53" s="16">
        <f>-SUMIF('1.2 FY2017'!$B:$B,'2.1 Database'!B53,'1.2 FY2017'!$F:$F)</f>
        <v>2204.7199999999998</v>
      </c>
      <c r="H53" s="16">
        <f>-SUMIF('1.3 FY2018'!$B:$B,'2.1 Database'!B53,'1.3 FY2018'!$F:$F)</f>
        <v>73809.511999999988</v>
      </c>
      <c r="J53" s="31" t="s">
        <v>219</v>
      </c>
      <c r="K53" s="2">
        <f>+COUNTIF('2.2 P&amp;L statement'!$B$4:$B$24,'2.1 Database'!J53)</f>
        <v>1</v>
      </c>
    </row>
    <row r="54" spans="2:11" x14ac:dyDescent="0.25">
      <c r="B54" s="2" t="s">
        <v>150</v>
      </c>
      <c r="C54" s="4" t="str">
        <f>+VLOOKUP($B54,'1.1 FY2016'!$B$5:$E$61,2,FALSE)</f>
        <v>Capitalized interest</v>
      </c>
      <c r="D54" s="4">
        <f>+VLOOKUP($B54,'1.1 FY2016'!$B$5:$E$61,3,FALSE)</f>
        <v>111101</v>
      </c>
      <c r="E54" s="4" t="str">
        <f>+VLOOKUP($B54,'1.1 FY2016'!$B$5:$E$61,4,FALSE)</f>
        <v>Not assigned</v>
      </c>
      <c r="F54" s="16">
        <f>-SUMIF('1.1 FY2016'!$B:$B,'2.1 Database'!B54,'1.1 FY2016'!$F:$F)</f>
        <v>862270.63399999996</v>
      </c>
      <c r="G54" s="16">
        <f>-SUMIF('1.2 FY2017'!$B:$B,'2.1 Database'!B54,'1.2 FY2017'!$F:$F)</f>
        <v>0</v>
      </c>
      <c r="H54" s="16">
        <f>-SUMIF('1.3 FY2018'!$B:$B,'2.1 Database'!B54,'1.3 FY2018'!$F:$F)</f>
        <v>0</v>
      </c>
      <c r="J54" s="31" t="s">
        <v>64</v>
      </c>
      <c r="K54" s="2">
        <f>+COUNTIF('2.2 P&amp;L statement'!$B$4:$B$24,'2.1 Database'!J54)</f>
        <v>1</v>
      </c>
    </row>
    <row r="55" spans="2:11" x14ac:dyDescent="0.25">
      <c r="B55" s="2" t="s">
        <v>151</v>
      </c>
      <c r="C55" s="4" t="str">
        <f>+VLOOKUP($B55,'1.1 FY2016'!$B$5:$E$61,2,FALSE)</f>
        <v>Non-recurring costs</v>
      </c>
      <c r="D55" s="4">
        <f>+VLOOKUP($B55,'1.1 FY2016'!$B$5:$E$61,3,FALSE)</f>
        <v>111101</v>
      </c>
      <c r="E55" s="4" t="str">
        <f>+VLOOKUP($B55,'1.1 FY2016'!$B$5:$E$61,4,FALSE)</f>
        <v>Not assigned</v>
      </c>
      <c r="F55" s="16">
        <f>-SUMIF('1.1 FY2016'!$B:$B,'2.1 Database'!B55,'1.1 FY2016'!$F:$F)</f>
        <v>-22763</v>
      </c>
      <c r="G55" s="16">
        <f>-SUMIF('1.2 FY2017'!$B:$B,'2.1 Database'!B55,'1.2 FY2017'!$F:$F)</f>
        <v>-80617.179999999993</v>
      </c>
      <c r="H55" s="16">
        <f>-SUMIF('1.3 FY2018'!$B:$B,'2.1 Database'!B55,'1.3 FY2018'!$F:$F)</f>
        <v>-7173.195999999999</v>
      </c>
      <c r="J55" s="31" t="s">
        <v>220</v>
      </c>
      <c r="K55" s="2">
        <f>+COUNTIF('2.2 P&amp;L statement'!$B$4:$B$24,'2.1 Database'!J55)</f>
        <v>1</v>
      </c>
    </row>
    <row r="56" spans="2:11" x14ac:dyDescent="0.25">
      <c r="B56" s="2" t="s">
        <v>152</v>
      </c>
      <c r="C56" s="4" t="str">
        <f>+VLOOKUP($B56,'1.1 FY2016'!$B$5:$E$61,2,FALSE)</f>
        <v>Interest expenses</v>
      </c>
      <c r="D56" s="4">
        <f>+VLOOKUP($B56,'1.1 FY2016'!$B$5:$E$61,3,FALSE)</f>
        <v>88</v>
      </c>
      <c r="E56" s="4" t="str">
        <f>+VLOOKUP($B56,'1.1 FY2016'!$B$5:$E$61,4,FALSE)</f>
        <v>Generco Ltd</v>
      </c>
      <c r="F56" s="16">
        <f>-SUMIF('1.1 FY2016'!$B:$B,'2.1 Database'!B56,'1.1 FY2016'!$F:$F)</f>
        <v>-2930430.0120000001</v>
      </c>
      <c r="G56" s="16">
        <f>-SUMIF('1.2 FY2017'!$B:$B,'2.1 Database'!B56,'1.2 FY2017'!$F:$F)</f>
        <v>-2752704.22</v>
      </c>
      <c r="H56" s="16">
        <f>-SUMIF('1.3 FY2018'!$B:$B,'2.1 Database'!B56,'1.3 FY2018'!$F:$F)</f>
        <v>-2324465.8859999999</v>
      </c>
      <c r="J56" s="31" t="s">
        <v>219</v>
      </c>
      <c r="K56" s="2">
        <f>+COUNTIF('2.2 P&amp;L statement'!$B$4:$B$24,'2.1 Database'!J56)</f>
        <v>1</v>
      </c>
    </row>
    <row r="57" spans="2:11" x14ac:dyDescent="0.25">
      <c r="B57" s="2" t="s">
        <v>153</v>
      </c>
      <c r="C57" s="4" t="str">
        <f>+VLOOKUP($B57,'1.1 FY2016'!$B$5:$E$61,2,FALSE)</f>
        <v>Current taxes</v>
      </c>
      <c r="D57" s="4">
        <f>+VLOOKUP($B57,'1.1 FY2016'!$B$5:$E$61,3,FALSE)</f>
        <v>111101</v>
      </c>
      <c r="E57" s="4" t="str">
        <f>+VLOOKUP($B57,'1.1 FY2016'!$B$5:$E$61,4,FALSE)</f>
        <v>Not assigned</v>
      </c>
      <c r="F57" s="16">
        <f>-SUMIF('1.1 FY2016'!$B:$B,'2.1 Database'!B57,'1.1 FY2016'!$F:$F)</f>
        <v>49378.641999999993</v>
      </c>
      <c r="G57" s="16">
        <f>-SUMIF('1.2 FY2017'!$B:$B,'2.1 Database'!B57,'1.2 FY2017'!$F:$F)</f>
        <v>-496748.70000000007</v>
      </c>
      <c r="H57" s="16">
        <f>-SUMIF('1.3 FY2018'!$B:$B,'2.1 Database'!B57,'1.3 FY2018'!$F:$F)</f>
        <v>-2558.1950000000002</v>
      </c>
      <c r="J57" s="31" t="s">
        <v>221</v>
      </c>
      <c r="K57" s="2">
        <f>+COUNTIF('2.2 P&amp;L statement'!$B$4:$B$24,'2.1 Database'!J57)</f>
        <v>1</v>
      </c>
    </row>
    <row r="58" spans="2:11" x14ac:dyDescent="0.25">
      <c r="B58" s="2" t="s">
        <v>154</v>
      </c>
      <c r="C58" s="4" t="str">
        <f>+VLOOKUP($B58,'1.1 FY2016'!$B$5:$E$61,2,FALSE)</f>
        <v>Regional taxes</v>
      </c>
      <c r="D58" s="4">
        <f>+VLOOKUP($B58,'1.1 FY2016'!$B$5:$E$61,3,FALSE)</f>
        <v>111101</v>
      </c>
      <c r="E58" s="4" t="str">
        <f>+VLOOKUP($B58,'1.1 FY2016'!$B$5:$E$61,4,FALSE)</f>
        <v>Not assigned</v>
      </c>
      <c r="F58" s="16">
        <f>-SUMIF('1.1 FY2016'!$B:$B,'2.1 Database'!B58,'1.1 FY2016'!$F:$F)</f>
        <v>-516250.67</v>
      </c>
      <c r="G58" s="16">
        <f>-SUMIF('1.2 FY2017'!$B:$B,'2.1 Database'!B58,'1.2 FY2017'!$F:$F)</f>
        <v>-480872.96000000002</v>
      </c>
      <c r="H58" s="16">
        <f>-SUMIF('1.3 FY2018'!$B:$B,'2.1 Database'!B58,'1.3 FY2018'!$F:$F)</f>
        <v>-522710.353</v>
      </c>
      <c r="J58" s="31" t="s">
        <v>221</v>
      </c>
      <c r="K58" s="2">
        <f>+COUNTIF('2.2 P&amp;L statement'!$B$4:$B$24,'2.1 Database'!J58)</f>
        <v>1</v>
      </c>
    </row>
    <row r="59" spans="2:11" x14ac:dyDescent="0.25">
      <c r="B59" s="2" t="s">
        <v>155</v>
      </c>
      <c r="C59" s="4" t="str">
        <f>+VLOOKUP($B59,'1.1 FY2016'!$B$5:$E$61,2,FALSE)</f>
        <v>Deferred taxes</v>
      </c>
      <c r="D59" s="4">
        <f>+VLOOKUP($B59,'1.1 FY2016'!$B$5:$E$61,3,FALSE)</f>
        <v>111101</v>
      </c>
      <c r="E59" s="4" t="str">
        <f>+VLOOKUP($B59,'1.1 FY2016'!$B$5:$E$61,4,FALSE)</f>
        <v>Not assigned</v>
      </c>
      <c r="F59" s="16">
        <f>-SUMIF('1.1 FY2016'!$B:$B,'2.1 Database'!B59,'1.1 FY2016'!$F:$F)</f>
        <v>-21593.093999999997</v>
      </c>
      <c r="G59" s="16">
        <f>-SUMIF('1.2 FY2017'!$B:$B,'2.1 Database'!B59,'1.2 FY2017'!$F:$F)</f>
        <v>-6570.3050000000003</v>
      </c>
      <c r="H59" s="16">
        <f>-SUMIF('1.3 FY2018'!$B:$B,'2.1 Database'!B59,'1.3 FY2018'!$F:$F)</f>
        <v>160303.52199999997</v>
      </c>
      <c r="J59" s="31" t="s">
        <v>221</v>
      </c>
      <c r="K59" s="2">
        <f>+COUNTIF('2.2 P&amp;L statement'!$B$4:$B$24,'2.1 Database'!J59)</f>
        <v>1</v>
      </c>
    </row>
    <row r="60" spans="2:11" x14ac:dyDescent="0.25">
      <c r="B60" s="2" t="s">
        <v>156</v>
      </c>
      <c r="C60" s="4" t="str">
        <f>+VLOOKUP($B60,'1.1 FY2016'!$B$5:$E$61,2,FALSE)</f>
        <v>Net income/(loss)</v>
      </c>
      <c r="D60" s="4">
        <f>+VLOOKUP($B60,'1.1 FY2016'!$B$5:$E$61,3,FALSE)</f>
        <v>111101</v>
      </c>
      <c r="E60" s="4" t="str">
        <f>+VLOOKUP($B60,'1.1 FY2016'!$B$5:$E$61,4,FALSE)</f>
        <v>Not assigned</v>
      </c>
      <c r="F60" s="16">
        <f>SUMIF('1.1 FY2016'!$B:$B,'2.1 Database'!B60,'1.1 FY2016'!$F:$F)</f>
        <v>-2904117.9939999986</v>
      </c>
      <c r="G60" s="16">
        <f>SUMIF('1.2 FY2017'!$B:$B,'2.1 Database'!B60,'1.2 FY2017'!$F:$F)</f>
        <v>0</v>
      </c>
      <c r="H60" s="16">
        <f>SUMIF('1.3 FY2018'!$B:$B,'2.1 Database'!B60,'1.3 FY2018'!$F:$F)</f>
        <v>0</v>
      </c>
      <c r="J60" s="31" t="s">
        <v>231</v>
      </c>
      <c r="K60" s="2">
        <f>+COUNTIF('2.2 P&amp;L statement'!$B$4:$B$24,'2.1 Database'!J60)</f>
        <v>1</v>
      </c>
    </row>
    <row r="61" spans="2:11" x14ac:dyDescent="0.25">
      <c r="B61" s="2" t="s">
        <v>157</v>
      </c>
      <c r="C61" s="4" t="str">
        <f>VLOOKUP($B61,'1.2 FY2017'!$B$5:$E$86,2,FALSE)</f>
        <v>Core business revenues</v>
      </c>
      <c r="D61" s="4">
        <f>VLOOKUP($B61,'1.2 FY2017'!$B$5:$E$86,3,FALSE)</f>
        <v>105</v>
      </c>
      <c r="E61" s="4" t="str">
        <f>VLOOKUP($B61,'1.2 FY2017'!$B$5:$E$86,4,FALSE)</f>
        <v>Generco Healthcare Ltd</v>
      </c>
      <c r="F61" s="16">
        <f>-SUMIF('1.1 FY2016'!$B:$B,'2.1 Database'!B61,'1.1 FY2016'!$F:$F)</f>
        <v>0</v>
      </c>
      <c r="G61" s="16">
        <f>-SUMIF('1.2 FY2017'!$B:$B,'2.1 Database'!B61,'1.2 FY2017'!$F:$F)</f>
        <v>355396.61499999999</v>
      </c>
      <c r="H61" s="16">
        <f>-SUMIF('1.3 FY2018'!$B:$B,'2.1 Database'!B61,'1.3 FY2018'!$F:$F)</f>
        <v>616462.01899999997</v>
      </c>
      <c r="J61" s="31" t="s">
        <v>222</v>
      </c>
      <c r="K61" s="2">
        <f>+COUNTIF('2.2 P&amp;L statement'!$B$4:$B$24,'2.1 Database'!J61)</f>
        <v>1</v>
      </c>
    </row>
    <row r="62" spans="2:11" x14ac:dyDescent="0.25">
      <c r="B62" s="2" t="s">
        <v>158</v>
      </c>
      <c r="C62" s="4" t="str">
        <f>VLOOKUP($B62,'1.2 FY2017'!$B$5:$E$86,2,FALSE)</f>
        <v>Capitalized costs</v>
      </c>
      <c r="D62" s="4" t="str">
        <f>VLOOKUP($B62,'1.2 FY2017'!$B$5:$E$86,3,FALSE)</f>
        <v>1086</v>
      </c>
      <c r="E62" s="4" t="str">
        <f>VLOOKUP($B62,'1.2 FY2017'!$B$5:$E$86,4,FALSE)</f>
        <v>G&amp;Resources Ltd</v>
      </c>
      <c r="F62" s="16">
        <f>-SUMIF('1.1 FY2016'!$B:$B,'2.1 Database'!B62,'1.1 FY2016'!$F:$F)</f>
        <v>0</v>
      </c>
      <c r="G62" s="16">
        <f>-SUMIF('1.2 FY2017'!$B:$B,'2.1 Database'!B62,'1.2 FY2017'!$F:$F)</f>
        <v>420017.14999999997</v>
      </c>
      <c r="H62" s="16">
        <f>-SUMIF('1.3 FY2018'!$B:$B,'2.1 Database'!B62,'1.3 FY2018'!$F:$F)</f>
        <v>0</v>
      </c>
      <c r="J62" s="31" t="s">
        <v>64</v>
      </c>
      <c r="K62" s="2">
        <f>+COUNTIF('2.2 P&amp;L statement'!$B$4:$B$24,'2.1 Database'!J62)</f>
        <v>1</v>
      </c>
    </row>
    <row r="63" spans="2:11" x14ac:dyDescent="0.25">
      <c r="B63" s="2" t="s">
        <v>159</v>
      </c>
      <c r="C63" s="4" t="str">
        <f>VLOOKUP($B63,'1.2 FY2017'!$B$5:$E$86,2,FALSE)</f>
        <v>Utility charges</v>
      </c>
      <c r="D63" s="4">
        <f>VLOOKUP($B63,'1.2 FY2017'!$B$5:$E$86,3,FALSE)</f>
        <v>111111</v>
      </c>
      <c r="E63" s="4" t="str">
        <f>VLOOKUP($B63,'1.2 FY2017'!$B$5:$E$86,4,FALSE)</f>
        <v>External</v>
      </c>
      <c r="F63" s="16">
        <f>-SUMIF('1.1 FY2016'!$B:$B,'2.1 Database'!B63,'1.1 FY2016'!$F:$F)</f>
        <v>0</v>
      </c>
      <c r="G63" s="16">
        <f>-SUMIF('1.2 FY2017'!$B:$B,'2.1 Database'!B63,'1.2 FY2017'!$F:$F)</f>
        <v>-14589.33</v>
      </c>
      <c r="H63" s="16">
        <f>-SUMIF('1.3 FY2018'!$B:$B,'2.1 Database'!B63,'1.3 FY2018'!$F:$F)</f>
        <v>-20504.509999999998</v>
      </c>
      <c r="J63" s="31" t="s">
        <v>227</v>
      </c>
      <c r="K63" s="2">
        <f>+COUNTIF('2.2 P&amp;L statement'!$B$4:$B$24,'2.1 Database'!J63)</f>
        <v>1</v>
      </c>
    </row>
    <row r="64" spans="2:11" x14ac:dyDescent="0.25">
      <c r="B64" s="2" t="s">
        <v>160</v>
      </c>
      <c r="C64" s="4" t="str">
        <f>VLOOKUP($B64,'1.2 FY2017'!$B$5:$E$86,2,FALSE)</f>
        <v>R&amp;D expenses</v>
      </c>
      <c r="D64" s="4">
        <f>VLOOKUP($B64,'1.2 FY2017'!$B$5:$E$86,3,FALSE)</f>
        <v>19</v>
      </c>
      <c r="E64" s="4" t="str">
        <f>VLOOKUP($B64,'1.2 FY2017'!$B$5:$E$86,4,FALSE)</f>
        <v>Generco Cosmetics Ltd</v>
      </c>
      <c r="F64" s="16">
        <f>-SUMIF('1.1 FY2016'!$B:$B,'2.1 Database'!B64,'1.1 FY2016'!$F:$F)</f>
        <v>0</v>
      </c>
      <c r="G64" s="16">
        <f>-SUMIF('1.2 FY2017'!$B:$B,'2.1 Database'!B64,'1.2 FY2017'!$F:$F)</f>
        <v>-38521</v>
      </c>
      <c r="H64" s="16">
        <f>-SUMIF('1.3 FY2018'!$B:$B,'2.1 Database'!B64,'1.3 FY2018'!$F:$F)</f>
        <v>0</v>
      </c>
      <c r="J64" s="31" t="s">
        <v>227</v>
      </c>
      <c r="K64" s="2">
        <f>+COUNTIF('2.2 P&amp;L statement'!$B$4:$B$24,'2.1 Database'!J64)</f>
        <v>1</v>
      </c>
    </row>
    <row r="65" spans="2:11" x14ac:dyDescent="0.25">
      <c r="B65" s="2" t="s">
        <v>161</v>
      </c>
      <c r="C65" s="4" t="str">
        <f>VLOOKUP($B65,'1.2 FY2017'!$B$5:$E$86,2,FALSE)</f>
        <v>R&amp;D expenses</v>
      </c>
      <c r="D65" s="4" t="str">
        <f>VLOOKUP($B65,'1.2 FY2017'!$B$5:$E$86,3,FALSE)</f>
        <v>1283</v>
      </c>
      <c r="E65" s="4" t="str">
        <f>VLOOKUP($B65,'1.2 FY2017'!$B$5:$E$86,4,FALSE)</f>
        <v>Generco Ventures Ltd</v>
      </c>
      <c r="F65" s="16">
        <f>-SUMIF('1.1 FY2016'!$B:$B,'2.1 Database'!B65,'1.1 FY2016'!$F:$F)</f>
        <v>0</v>
      </c>
      <c r="G65" s="16">
        <f>-SUMIF('1.2 FY2017'!$B:$B,'2.1 Database'!B65,'1.2 FY2017'!$F:$F)</f>
        <v>-1820</v>
      </c>
      <c r="H65" s="16">
        <f>-SUMIF('1.3 FY2018'!$B:$B,'2.1 Database'!B65,'1.3 FY2018'!$F:$F)</f>
        <v>0</v>
      </c>
      <c r="J65" s="31" t="s">
        <v>227</v>
      </c>
      <c r="K65" s="2">
        <f>+COUNTIF('2.2 P&amp;L statement'!$B$4:$B$24,'2.1 Database'!J65)</f>
        <v>1</v>
      </c>
    </row>
    <row r="66" spans="2:11" x14ac:dyDescent="0.25">
      <c r="B66" s="2" t="s">
        <v>162</v>
      </c>
      <c r="C66" s="4" t="str">
        <f>VLOOKUP($B66,'1.2 FY2017'!$B$5:$E$86,2,FALSE)</f>
        <v>R&amp;D expenses</v>
      </c>
      <c r="D66" s="4" t="str">
        <f>VLOOKUP($B66,'1.2 FY2017'!$B$5:$E$86,3,FALSE)</f>
        <v>1924</v>
      </c>
      <c r="E66" s="4" t="str">
        <f>VLOOKUP($B66,'1.2 FY2017'!$B$5:$E$86,4,FALSE)</f>
        <v>Generco Infrastructure Ltd</v>
      </c>
      <c r="F66" s="16">
        <f>-SUMIF('1.1 FY2016'!$B:$B,'2.1 Database'!B66,'1.1 FY2016'!$F:$F)</f>
        <v>0</v>
      </c>
      <c r="G66" s="16">
        <f>-SUMIF('1.2 FY2017'!$B:$B,'2.1 Database'!B66,'1.2 FY2017'!$F:$F)</f>
        <v>-10448.129999999999</v>
      </c>
      <c r="H66" s="16">
        <f>-SUMIF('1.3 FY2018'!$B:$B,'2.1 Database'!B66,'1.3 FY2018'!$F:$F)</f>
        <v>-673.34299999999985</v>
      </c>
      <c r="J66" s="31" t="s">
        <v>227</v>
      </c>
      <c r="K66" s="2">
        <f>+COUNTIF('2.2 P&amp;L statement'!$B$4:$B$24,'2.1 Database'!J66)</f>
        <v>1</v>
      </c>
    </row>
    <row r="67" spans="2:11" x14ac:dyDescent="0.25">
      <c r="B67" s="2" t="s">
        <v>163</v>
      </c>
      <c r="C67" s="4" t="str">
        <f>VLOOKUP($B67,'1.2 FY2017'!$B$5:$E$86,2,FALSE)</f>
        <v>R&amp;D expenses</v>
      </c>
      <c r="D67" s="4" t="str">
        <f>VLOOKUP($B67,'1.2 FY2017'!$B$5:$E$86,3,FALSE)</f>
        <v>2486</v>
      </c>
      <c r="E67" s="4" t="str">
        <f>VLOOKUP($B67,'1.2 FY2017'!$B$5:$E$86,4,FALSE)</f>
        <v>Generco Exloration Ltd</v>
      </c>
      <c r="F67" s="16">
        <f>-SUMIF('1.1 FY2016'!$B:$B,'2.1 Database'!B67,'1.1 FY2016'!$F:$F)</f>
        <v>0</v>
      </c>
      <c r="G67" s="16">
        <f>-SUMIF('1.2 FY2017'!$B:$B,'2.1 Database'!B67,'1.2 FY2017'!$F:$F)</f>
        <v>-10412.5</v>
      </c>
      <c r="H67" s="16">
        <f>-SUMIF('1.3 FY2018'!$B:$B,'2.1 Database'!B67,'1.3 FY2018'!$F:$F)</f>
        <v>0</v>
      </c>
      <c r="J67" s="31" t="s">
        <v>227</v>
      </c>
      <c r="K67" s="2">
        <f>+COUNTIF('2.2 P&amp;L statement'!$B$4:$B$24,'2.1 Database'!J67)</f>
        <v>1</v>
      </c>
    </row>
    <row r="68" spans="2:11" x14ac:dyDescent="0.25">
      <c r="B68" s="2" t="s">
        <v>164</v>
      </c>
      <c r="C68" s="4" t="str">
        <f>VLOOKUP($B68,'1.2 FY2017'!$B$5:$E$86,2,FALSE)</f>
        <v>Other personnel expenses</v>
      </c>
      <c r="D68" s="4">
        <f>VLOOKUP($B68,'1.2 FY2017'!$B$5:$E$86,3,FALSE)</f>
        <v>111101</v>
      </c>
      <c r="E68" s="4" t="str">
        <f>VLOOKUP($B68,'1.2 FY2017'!$B$5:$E$86,4,FALSE)</f>
        <v>Not assigned</v>
      </c>
      <c r="F68" s="16">
        <f>-SUMIF('1.1 FY2016'!$B:$B,'2.1 Database'!B68,'1.1 FY2016'!$F:$F)</f>
        <v>0</v>
      </c>
      <c r="G68" s="16">
        <f>-SUMIF('1.2 FY2017'!$B:$B,'2.1 Database'!B68,'1.2 FY2017'!$F:$F)</f>
        <v>-6919.8499999999995</v>
      </c>
      <c r="H68" s="16">
        <f>-SUMIF('1.3 FY2018'!$B:$B,'2.1 Database'!B68,'1.3 FY2018'!$F:$F)</f>
        <v>0</v>
      </c>
      <c r="J68" s="31" t="s">
        <v>214</v>
      </c>
      <c r="K68" s="2">
        <f>+COUNTIF('2.2 P&amp;L statement'!$B$4:$B$24,'2.1 Database'!J68)</f>
        <v>1</v>
      </c>
    </row>
    <row r="69" spans="2:11" x14ac:dyDescent="0.25">
      <c r="B69" s="2" t="s">
        <v>165</v>
      </c>
      <c r="C69" s="4" t="str">
        <f>VLOOKUP($B69,'1.2 FY2017'!$B$5:$E$86,2,FALSE)</f>
        <v>Gains from disposal of PP&amp;E</v>
      </c>
      <c r="D69" s="4">
        <f>VLOOKUP($B69,'1.2 FY2017'!$B$5:$E$86,3,FALSE)</f>
        <v>111111</v>
      </c>
      <c r="E69" s="4" t="str">
        <f>VLOOKUP($B69,'1.2 FY2017'!$B$5:$E$86,4,FALSE)</f>
        <v>External</v>
      </c>
      <c r="F69" s="16">
        <f>-SUMIF('1.1 FY2016'!$B:$B,'2.1 Database'!B69,'1.1 FY2016'!$F:$F)</f>
        <v>0</v>
      </c>
      <c r="G69" s="16">
        <f>-SUMIF('1.2 FY2017'!$B:$B,'2.1 Database'!B69,'1.2 FY2017'!$F:$F)</f>
        <v>121553.07499999998</v>
      </c>
      <c r="H69" s="16">
        <f>-SUMIF('1.3 FY2018'!$B:$B,'2.1 Database'!B69,'1.3 FY2018'!$F:$F)</f>
        <v>0</v>
      </c>
      <c r="J69" s="31" t="s">
        <v>220</v>
      </c>
      <c r="K69" s="2">
        <f>+COUNTIF('2.2 P&amp;L statement'!$B$4:$B$24,'2.1 Database'!J69)</f>
        <v>1</v>
      </c>
    </row>
    <row r="70" spans="2:11" x14ac:dyDescent="0.25">
      <c r="B70" s="2" t="s">
        <v>166</v>
      </c>
      <c r="C70" s="4" t="str">
        <f>VLOOKUP($B70,'1.2 FY2017'!$B$5:$E$86,2,FALSE)</f>
        <v>Corporate recharges</v>
      </c>
      <c r="D70" s="4">
        <f>VLOOKUP($B70,'1.2 FY2017'!$B$5:$E$86,3,FALSE)</f>
        <v>19</v>
      </c>
      <c r="E70" s="4" t="str">
        <f>VLOOKUP($B70,'1.2 FY2017'!$B$5:$E$86,4,FALSE)</f>
        <v>Generco Cosmetics Ltd</v>
      </c>
      <c r="F70" s="16">
        <f>-SUMIF('1.1 FY2016'!$B:$B,'2.1 Database'!B70,'1.1 FY2016'!$F:$F)</f>
        <v>0</v>
      </c>
      <c r="G70" s="16">
        <f>-SUMIF('1.2 FY2017'!$B:$B,'2.1 Database'!B70,'1.2 FY2017'!$F:$F)</f>
        <v>416278.66</v>
      </c>
      <c r="H70" s="16">
        <f>-SUMIF('1.3 FY2018'!$B:$B,'2.1 Database'!B70,'1.3 FY2018'!$F:$F)</f>
        <v>622966.38600000006</v>
      </c>
      <c r="J70" s="31" t="s">
        <v>215</v>
      </c>
      <c r="K70" s="2">
        <f>+COUNTIF('2.2 P&amp;L statement'!$B$4:$B$24,'2.1 Database'!J70)</f>
        <v>1</v>
      </c>
    </row>
    <row r="71" spans="2:11" x14ac:dyDescent="0.25">
      <c r="B71" s="2" t="s">
        <v>167</v>
      </c>
      <c r="C71" s="4" t="str">
        <f>VLOOKUP($B71,'1.2 FY2017'!$B$5:$E$86,2,FALSE)</f>
        <v>Corporate recharges</v>
      </c>
      <c r="D71" s="4" t="str">
        <f>VLOOKUP($B71,'1.2 FY2017'!$B$5:$E$86,3,FALSE)</f>
        <v>1076</v>
      </c>
      <c r="E71" s="4" t="str">
        <f>VLOOKUP($B71,'1.2 FY2017'!$B$5:$E$86,4,FALSE)</f>
        <v>Generco Trading Ltd</v>
      </c>
      <c r="F71" s="16">
        <f>-SUMIF('1.1 FY2016'!$B:$B,'2.1 Database'!B71,'1.1 FY2016'!$F:$F)</f>
        <v>0</v>
      </c>
      <c r="G71" s="16">
        <f>-SUMIF('1.2 FY2017'!$B:$B,'2.1 Database'!B71,'1.2 FY2017'!$F:$F)</f>
        <v>364243.84499999997</v>
      </c>
      <c r="H71" s="16">
        <f>-SUMIF('1.3 FY2018'!$B:$B,'2.1 Database'!B71,'1.3 FY2018'!$F:$F)</f>
        <v>0</v>
      </c>
      <c r="J71" s="31" t="s">
        <v>215</v>
      </c>
      <c r="K71" s="2">
        <f>+COUNTIF('2.2 P&amp;L statement'!$B$4:$B$24,'2.1 Database'!J71)</f>
        <v>1</v>
      </c>
    </row>
    <row r="72" spans="2:11" x14ac:dyDescent="0.25">
      <c r="B72" s="2" t="s">
        <v>168</v>
      </c>
      <c r="C72" s="4" t="str">
        <f>VLOOKUP($B72,'1.2 FY2017'!$B$5:$E$86,2,FALSE)</f>
        <v>Corporate recharges</v>
      </c>
      <c r="D72" s="4" t="str">
        <f>VLOOKUP($B72,'1.2 FY2017'!$B$5:$E$86,3,FALSE)</f>
        <v>1086</v>
      </c>
      <c r="E72" s="4" t="str">
        <f>VLOOKUP($B72,'1.2 FY2017'!$B$5:$E$86,4,FALSE)</f>
        <v>G&amp;Resources Ltd</v>
      </c>
      <c r="F72" s="16">
        <f>-SUMIF('1.1 FY2016'!$B:$B,'2.1 Database'!B72,'1.1 FY2016'!$F:$F)</f>
        <v>0</v>
      </c>
      <c r="G72" s="16">
        <f>-SUMIF('1.2 FY2017'!$B:$B,'2.1 Database'!B72,'1.2 FY2017'!$F:$F)</f>
        <v>0</v>
      </c>
      <c r="H72" s="16">
        <f>-SUMIF('1.3 FY2018'!$B:$B,'2.1 Database'!B72,'1.3 FY2018'!$F:$F)</f>
        <v>0</v>
      </c>
      <c r="J72" s="31" t="s">
        <v>215</v>
      </c>
      <c r="K72" s="2">
        <f>+COUNTIF('2.2 P&amp;L statement'!$B$4:$B$24,'2.1 Database'!J72)</f>
        <v>1</v>
      </c>
    </row>
    <row r="73" spans="2:11" x14ac:dyDescent="0.25">
      <c r="B73" s="2" t="s">
        <v>169</v>
      </c>
      <c r="C73" s="4" t="str">
        <f>VLOOKUP($B73,'1.2 FY2017'!$B$5:$E$86,2,FALSE)</f>
        <v>Corporate recharges</v>
      </c>
      <c r="D73" s="4" t="str">
        <f>VLOOKUP($B73,'1.2 FY2017'!$B$5:$E$86,3,FALSE)</f>
        <v>47037</v>
      </c>
      <c r="E73" s="4" t="str">
        <f>VLOOKUP($B73,'1.2 FY2017'!$B$5:$E$86,4,FALSE)</f>
        <v>G&amp;CR Global Ltd</v>
      </c>
      <c r="F73" s="16">
        <f>-SUMIF('1.1 FY2016'!$B:$B,'2.1 Database'!B73,'1.1 FY2016'!$F:$F)</f>
        <v>0</v>
      </c>
      <c r="G73" s="16">
        <f>-SUMIF('1.2 FY2017'!$B:$B,'2.1 Database'!B73,'1.2 FY2017'!$F:$F)</f>
        <v>482611.04499999998</v>
      </c>
      <c r="H73" s="16">
        <f>-SUMIF('1.3 FY2018'!$B:$B,'2.1 Database'!B73,'1.3 FY2018'!$F:$F)</f>
        <v>1948832.1429999999</v>
      </c>
      <c r="J73" s="31" t="s">
        <v>215</v>
      </c>
      <c r="K73" s="2">
        <f>+COUNTIF('2.2 P&amp;L statement'!$B$4:$B$24,'2.1 Database'!J73)</f>
        <v>1</v>
      </c>
    </row>
    <row r="74" spans="2:11" x14ac:dyDescent="0.25">
      <c r="B74" s="2" t="s">
        <v>170</v>
      </c>
      <c r="C74" s="4" t="str">
        <f>VLOOKUP($B74,'1.2 FY2017'!$B$5:$E$86,2,FALSE)</f>
        <v>Other income</v>
      </c>
      <c r="D74" s="4">
        <f>VLOOKUP($B74,'1.2 FY2017'!$B$5:$E$86,3,FALSE)</f>
        <v>88</v>
      </c>
      <c r="E74" s="4" t="str">
        <f>VLOOKUP($B74,'1.2 FY2017'!$B$5:$E$86,4,FALSE)</f>
        <v>Generco Ltd</v>
      </c>
      <c r="F74" s="16">
        <f>-SUMIF('1.1 FY2016'!$B:$B,'2.1 Database'!B74,'1.1 FY2016'!$F:$F)</f>
        <v>0</v>
      </c>
      <c r="G74" s="16">
        <f>-SUMIF('1.2 FY2017'!$B:$B,'2.1 Database'!B74,'1.2 FY2017'!$F:$F)</f>
        <v>2436.35</v>
      </c>
      <c r="H74" s="16">
        <f>-SUMIF('1.3 FY2018'!$B:$B,'2.1 Database'!B74,'1.3 FY2018'!$F:$F)</f>
        <v>0</v>
      </c>
      <c r="J74" s="31" t="s">
        <v>71</v>
      </c>
      <c r="K74" s="2">
        <f>+COUNTIF('2.2 P&amp;L statement'!$B$4:$B$24,'2.1 Database'!J74)</f>
        <v>1</v>
      </c>
    </row>
    <row r="75" spans="2:11" x14ac:dyDescent="0.25">
      <c r="B75" s="2" t="s">
        <v>171</v>
      </c>
      <c r="C75" s="4" t="str">
        <f>VLOOKUP($B75,'1.2 FY2017'!$B$5:$E$86,2,FALSE)</f>
        <v>Concession fees other</v>
      </c>
      <c r="D75" s="4">
        <f>VLOOKUP($B75,'1.2 FY2017'!$B$5:$E$86,3,FALSE)</f>
        <v>111101</v>
      </c>
      <c r="E75" s="4" t="str">
        <f>VLOOKUP($B75,'1.2 FY2017'!$B$5:$E$86,4,FALSE)</f>
        <v>Not assigned</v>
      </c>
      <c r="F75" s="16">
        <f>-SUMIF('1.1 FY2016'!$B:$B,'2.1 Database'!B75,'1.1 FY2016'!$F:$F)</f>
        <v>0</v>
      </c>
      <c r="G75" s="16">
        <f>-SUMIF('1.2 FY2017'!$B:$B,'2.1 Database'!B75,'1.2 FY2017'!$F:$F)</f>
        <v>-81.339999999999989</v>
      </c>
      <c r="H75" s="16">
        <f>-SUMIF('1.3 FY2018'!$B:$B,'2.1 Database'!B75,'1.3 FY2018'!$F:$F)</f>
        <v>0</v>
      </c>
      <c r="J75" s="31" t="s">
        <v>227</v>
      </c>
      <c r="K75" s="2">
        <f>+COUNTIF('2.2 P&amp;L statement'!$B$4:$B$24,'2.1 Database'!J75)</f>
        <v>1</v>
      </c>
    </row>
    <row r="76" spans="2:11" x14ac:dyDescent="0.25">
      <c r="B76" s="2" t="s">
        <v>172</v>
      </c>
      <c r="C76" s="4" t="str">
        <f>VLOOKUP($B76,'1.2 FY2017'!$B$5:$E$86,2,FALSE)</f>
        <v>Service expenses</v>
      </c>
      <c r="D76" s="4">
        <f>VLOOKUP($B76,'1.2 FY2017'!$B$5:$E$86,3,FALSE)</f>
        <v>105</v>
      </c>
      <c r="E76" s="4" t="str">
        <f>VLOOKUP($B76,'1.2 FY2017'!$B$5:$E$86,4,FALSE)</f>
        <v>Generco Healthcare Ltd</v>
      </c>
      <c r="F76" s="16">
        <f>-SUMIF('1.1 FY2016'!$B:$B,'2.1 Database'!B76,'1.1 FY2016'!$F:$F)</f>
        <v>0</v>
      </c>
      <c r="G76" s="16">
        <f>-SUMIF('1.2 FY2017'!$B:$B,'2.1 Database'!B76,'1.2 FY2017'!$F:$F)</f>
        <v>-276920</v>
      </c>
      <c r="H76" s="16">
        <f>-SUMIF('1.3 FY2018'!$B:$B,'2.1 Database'!B76,'1.3 FY2018'!$F:$F)</f>
        <v>-473575.46100000001</v>
      </c>
      <c r="J76" s="31" t="s">
        <v>217</v>
      </c>
      <c r="K76" s="2">
        <f>+COUNTIF('2.2 P&amp;L statement'!$B$4:$B$24,'2.1 Database'!J76)</f>
        <v>1</v>
      </c>
    </row>
    <row r="77" spans="2:11" x14ac:dyDescent="0.25">
      <c r="B77" s="2" t="s">
        <v>173</v>
      </c>
      <c r="C77" s="4" t="str">
        <f>VLOOKUP($B77,'1.2 FY2017'!$B$5:$E$86,2,FALSE)</f>
        <v>Insurance expenses</v>
      </c>
      <c r="D77" s="4">
        <f>VLOOKUP($B77,'1.2 FY2017'!$B$5:$E$86,3,FALSE)</f>
        <v>1900</v>
      </c>
      <c r="E77" s="4" t="str">
        <f>VLOOKUP($B77,'1.2 FY2017'!$B$5:$E$86,4,FALSE)</f>
        <v>Generco Metals Gm</v>
      </c>
      <c r="F77" s="16">
        <f>-SUMIF('1.1 FY2016'!$B:$B,'2.1 Database'!B77,'1.1 FY2016'!$F:$F)</f>
        <v>0</v>
      </c>
      <c r="G77" s="16">
        <f>-SUMIF('1.2 FY2017'!$B:$B,'2.1 Database'!B77,'1.2 FY2017'!$F:$F)</f>
        <v>0</v>
      </c>
      <c r="H77" s="16">
        <f>-SUMIF('1.3 FY2018'!$B:$B,'2.1 Database'!B77,'1.3 FY2018'!$F:$F)</f>
        <v>0</v>
      </c>
      <c r="J77" s="31">
        <v>0</v>
      </c>
      <c r="K77" s="2">
        <f>+COUNTIF('2.2 P&amp;L statement'!$B$4:$B$24,'2.1 Database'!J77)</f>
        <v>0</v>
      </c>
    </row>
    <row r="78" spans="2:11" x14ac:dyDescent="0.25">
      <c r="B78" s="2" t="s">
        <v>174</v>
      </c>
      <c r="C78" s="4" t="str">
        <f>VLOOKUP($B78,'1.2 FY2017'!$B$5:$E$86,2,FALSE)</f>
        <v>Travel expenses</v>
      </c>
      <c r="D78" s="4" t="str">
        <f>VLOOKUP($B78,'1.2 FY2017'!$B$5:$E$86,3,FALSE)</f>
        <v>1118</v>
      </c>
      <c r="E78" s="4" t="str">
        <f>VLOOKUP($B78,'1.2 FY2017'!$B$5:$E$86,4,FALSE)</f>
        <v>Gener Green LLC</v>
      </c>
      <c r="F78" s="16">
        <f>-SUMIF('1.1 FY2016'!$B:$B,'2.1 Database'!B78,'1.1 FY2016'!$F:$F)</f>
        <v>0</v>
      </c>
      <c r="G78" s="16">
        <f>-SUMIF('1.2 FY2017'!$B:$B,'2.1 Database'!B78,'1.2 FY2017'!$F:$F)</f>
        <v>-23928.799999999999</v>
      </c>
      <c r="H78" s="16">
        <f>-SUMIF('1.3 FY2018'!$B:$B,'2.1 Database'!B78,'1.3 FY2018'!$F:$F)</f>
        <v>0</v>
      </c>
      <c r="J78" s="31" t="s">
        <v>227</v>
      </c>
      <c r="K78" s="2">
        <f>+COUNTIF('2.2 P&amp;L statement'!$B$4:$B$24,'2.1 Database'!J78)</f>
        <v>1</v>
      </c>
    </row>
    <row r="79" spans="2:11" x14ac:dyDescent="0.25">
      <c r="B79" s="2" t="s">
        <v>175</v>
      </c>
      <c r="C79" s="4" t="str">
        <f>VLOOKUP($B79,'1.2 FY2017'!$B$5:$E$86,2,FALSE)</f>
        <v>Losses fr disposal of PPE</v>
      </c>
      <c r="D79" s="4">
        <f>VLOOKUP($B79,'1.2 FY2017'!$B$5:$E$86,3,FALSE)</f>
        <v>111111</v>
      </c>
      <c r="E79" s="4" t="str">
        <f>VLOOKUP($B79,'1.2 FY2017'!$B$5:$E$86,4,FALSE)</f>
        <v>External</v>
      </c>
      <c r="F79" s="16">
        <f>-SUMIF('1.1 FY2016'!$B:$B,'2.1 Database'!B79,'1.1 FY2016'!$F:$F)</f>
        <v>0</v>
      </c>
      <c r="G79" s="16">
        <f>-SUMIF('1.2 FY2017'!$B:$B,'2.1 Database'!B79,'1.2 FY2017'!$F:$F)</f>
        <v>-308232</v>
      </c>
      <c r="H79" s="16">
        <f>-SUMIF('1.3 FY2018'!$B:$B,'2.1 Database'!B79,'1.3 FY2018'!$F:$F)</f>
        <v>0</v>
      </c>
      <c r="J79" s="31" t="s">
        <v>220</v>
      </c>
      <c r="K79" s="2">
        <f>+COUNTIF('2.2 P&amp;L statement'!$B$4:$B$24,'2.1 Database'!J79)</f>
        <v>1</v>
      </c>
    </row>
    <row r="80" spans="2:11" x14ac:dyDescent="0.25">
      <c r="B80" s="2" t="s">
        <v>176</v>
      </c>
      <c r="C80" s="4" t="str">
        <f>VLOOKUP($B80,'1.2 FY2017'!$B$5:$E$86,2,FALSE)</f>
        <v>Other operative currency differences</v>
      </c>
      <c r="D80" s="4">
        <f>VLOOKUP($B80,'1.2 FY2017'!$B$5:$E$86,3,FALSE)</f>
        <v>19</v>
      </c>
      <c r="E80" s="4" t="str">
        <f>VLOOKUP($B80,'1.2 FY2017'!$B$5:$E$86,4,FALSE)</f>
        <v>Generco Cosmetics Ltd</v>
      </c>
      <c r="F80" s="16">
        <f>-SUMIF('1.1 FY2016'!$B:$B,'2.1 Database'!B80,'1.1 FY2016'!$F:$F)</f>
        <v>0</v>
      </c>
      <c r="G80" s="16">
        <f>-SUMIF('1.2 FY2017'!$B:$B,'2.1 Database'!B80,'1.2 FY2017'!$F:$F)</f>
        <v>-13422.779999999999</v>
      </c>
      <c r="H80" s="16">
        <f>-SUMIF('1.3 FY2018'!$B:$B,'2.1 Database'!B80,'1.3 FY2018'!$F:$F)</f>
        <v>0</v>
      </c>
      <c r="J80" s="31" t="s">
        <v>227</v>
      </c>
      <c r="K80" s="2">
        <f>+COUNTIF('2.2 P&amp;L statement'!$B$4:$B$24,'2.1 Database'!J80)</f>
        <v>1</v>
      </c>
    </row>
    <row r="81" spans="2:11" x14ac:dyDescent="0.25">
      <c r="B81" s="2" t="s">
        <v>177</v>
      </c>
      <c r="C81" s="4" t="str">
        <f>VLOOKUP($B81,'1.2 FY2017'!$B$5:$E$86,2,FALSE)</f>
        <v>Other operative currency differences</v>
      </c>
      <c r="D81" s="4">
        <f>VLOOKUP($B81,'1.2 FY2017'!$B$5:$E$86,3,FALSE)</f>
        <v>111111</v>
      </c>
      <c r="E81" s="4" t="str">
        <f>VLOOKUP($B81,'1.2 FY2017'!$B$5:$E$86,4,FALSE)</f>
        <v>External</v>
      </c>
      <c r="F81" s="16">
        <f>-SUMIF('1.1 FY2016'!$B:$B,'2.1 Database'!B81,'1.1 FY2016'!$F:$F)</f>
        <v>0</v>
      </c>
      <c r="G81" s="16">
        <f>-SUMIF('1.2 FY2017'!$B:$B,'2.1 Database'!B81,'1.2 FY2017'!$F:$F)</f>
        <v>-4045.6150000000002</v>
      </c>
      <c r="H81" s="16">
        <f>-SUMIF('1.3 FY2018'!$B:$B,'2.1 Database'!B81,'1.3 FY2018'!$F:$F)</f>
        <v>0</v>
      </c>
      <c r="J81" s="31" t="s">
        <v>227</v>
      </c>
      <c r="K81" s="2">
        <f>+COUNTIF('2.2 P&amp;L statement'!$B$4:$B$24,'2.1 Database'!J81)</f>
        <v>1</v>
      </c>
    </row>
    <row r="82" spans="2:11" x14ac:dyDescent="0.25">
      <c r="B82" s="2" t="s">
        <v>178</v>
      </c>
      <c r="C82" s="4" t="str">
        <f>VLOOKUP($B82,'1.2 FY2017'!$B$5:$E$86,2,FALSE)</f>
        <v>Property tax</v>
      </c>
      <c r="D82" s="4">
        <f>VLOOKUP($B82,'1.2 FY2017'!$B$5:$E$86,3,FALSE)</f>
        <v>111111</v>
      </c>
      <c r="E82" s="4" t="str">
        <f>VLOOKUP($B82,'1.2 FY2017'!$B$5:$E$86,4,FALSE)</f>
        <v>External</v>
      </c>
      <c r="F82" s="16">
        <f>-SUMIF('1.1 FY2016'!$B:$B,'2.1 Database'!B82,'1.1 FY2016'!$F:$F)</f>
        <v>0</v>
      </c>
      <c r="G82" s="16">
        <f>-SUMIF('1.2 FY2017'!$B:$B,'2.1 Database'!B82,'1.2 FY2017'!$F:$F)</f>
        <v>-49621.144999999997</v>
      </c>
      <c r="H82" s="16">
        <f>-SUMIF('1.3 FY2018'!$B:$B,'2.1 Database'!B82,'1.3 FY2018'!$F:$F)</f>
        <v>0</v>
      </c>
      <c r="J82" s="31" t="s">
        <v>227</v>
      </c>
      <c r="K82" s="2">
        <f>+COUNTIF('2.2 P&amp;L statement'!$B$4:$B$24,'2.1 Database'!J82)</f>
        <v>1</v>
      </c>
    </row>
    <row r="83" spans="2:11" x14ac:dyDescent="0.25">
      <c r="B83" s="2" t="s">
        <v>179</v>
      </c>
      <c r="C83" s="4" t="str">
        <f>VLOOKUP($B83,'1.2 FY2017'!$B$5:$E$86,2,FALSE)</f>
        <v>Misc extraordinary expenses</v>
      </c>
      <c r="D83" s="4">
        <f>VLOOKUP($B83,'1.2 FY2017'!$B$5:$E$86,3,FALSE)</f>
        <v>19</v>
      </c>
      <c r="E83" s="4" t="str">
        <f>VLOOKUP($B83,'1.2 FY2017'!$B$5:$E$86,4,FALSE)</f>
        <v>Generco Cosmetics Ltd</v>
      </c>
      <c r="F83" s="16">
        <f>-SUMIF('1.1 FY2016'!$B:$B,'2.1 Database'!B83,'1.1 FY2016'!$F:$F)</f>
        <v>0</v>
      </c>
      <c r="G83" s="16">
        <f>-SUMIF('1.2 FY2017'!$B:$B,'2.1 Database'!B83,'1.2 FY2017'!$F:$F)</f>
        <v>-85462.684999999998</v>
      </c>
      <c r="H83" s="16">
        <f>-SUMIF('1.3 FY2018'!$B:$B,'2.1 Database'!B83,'1.3 FY2018'!$F:$F)</f>
        <v>0</v>
      </c>
      <c r="J83" s="31" t="s">
        <v>220</v>
      </c>
      <c r="K83" s="2">
        <f>+COUNTIF('2.2 P&amp;L statement'!$B$4:$B$24,'2.1 Database'!J83)</f>
        <v>1</v>
      </c>
    </row>
    <row r="84" spans="2:11" x14ac:dyDescent="0.25">
      <c r="B84" s="2" t="s">
        <v>180</v>
      </c>
      <c r="C84" s="4" t="str">
        <f>VLOOKUP($B84,'1.2 FY2017'!$B$5:$E$86,2,FALSE)</f>
        <v>Misc extraordinary expenses</v>
      </c>
      <c r="D84" s="4" t="str">
        <f>VLOOKUP($B84,'1.2 FY2017'!$B$5:$E$86,3,FALSE)</f>
        <v>43</v>
      </c>
      <c r="E84" s="4" t="str">
        <f>VLOOKUP($B84,'1.2 FY2017'!$B$5:$E$86,4,FALSE)</f>
        <v>Greeny France SL</v>
      </c>
      <c r="F84" s="16">
        <f>-SUMIF('1.1 FY2016'!$B:$B,'2.1 Database'!B84,'1.1 FY2016'!$F:$F)</f>
        <v>0</v>
      </c>
      <c r="G84" s="16">
        <f>-SUMIF('1.2 FY2017'!$B:$B,'2.1 Database'!B84,'1.2 FY2017'!$F:$F)</f>
        <v>-11422.144999999999</v>
      </c>
      <c r="H84" s="16">
        <f>-SUMIF('1.3 FY2018'!$B:$B,'2.1 Database'!B84,'1.3 FY2018'!$F:$F)</f>
        <v>0</v>
      </c>
      <c r="J84" s="31" t="s">
        <v>220</v>
      </c>
      <c r="K84" s="2">
        <f>+COUNTIF('2.2 P&amp;L statement'!$B$4:$B$24,'2.1 Database'!J84)</f>
        <v>1</v>
      </c>
    </row>
    <row r="85" spans="2:11" x14ac:dyDescent="0.25">
      <c r="B85" s="2" t="s">
        <v>181</v>
      </c>
      <c r="C85" s="4" t="str">
        <f>VLOOKUP($B85,'1.2 FY2017'!$B$5:$E$86,2,FALSE)</f>
        <v>Misc extraordinary expenses</v>
      </c>
      <c r="D85" s="4" t="str">
        <f>VLOOKUP($B85,'1.2 FY2017'!$B$5:$E$86,3,FALSE)</f>
        <v>1924</v>
      </c>
      <c r="E85" s="4" t="str">
        <f>VLOOKUP($B85,'1.2 FY2017'!$B$5:$E$86,4,FALSE)</f>
        <v>Generco Infrastructure Ltd</v>
      </c>
      <c r="F85" s="16">
        <f>-SUMIF('1.1 FY2016'!$B:$B,'2.1 Database'!B85,'1.1 FY2016'!$F:$F)</f>
        <v>0</v>
      </c>
      <c r="G85" s="16">
        <f>-SUMIF('1.2 FY2017'!$B:$B,'2.1 Database'!B85,'1.2 FY2017'!$F:$F)</f>
        <v>-84438.864999999991</v>
      </c>
      <c r="H85" s="16">
        <f>-SUMIF('1.3 FY2018'!$B:$B,'2.1 Database'!B85,'1.3 FY2018'!$F:$F)</f>
        <v>0</v>
      </c>
      <c r="J85" s="31" t="s">
        <v>220</v>
      </c>
      <c r="K85" s="2">
        <f>+COUNTIF('2.2 P&amp;L statement'!$B$4:$B$24,'2.1 Database'!J85)</f>
        <v>1</v>
      </c>
    </row>
    <row r="86" spans="2:11" x14ac:dyDescent="0.25">
      <c r="B86" s="2" t="s">
        <v>182</v>
      </c>
      <c r="C86" s="4" t="str">
        <f>VLOOKUP($B86,'1.2 FY2017'!$B$5:$E$86,2,FALSE)</f>
        <v>Difference from eliminations</v>
      </c>
      <c r="D86" s="4" t="str">
        <f>VLOOKUP($B86,'1.2 FY2017'!$B$5:$E$86,3,FALSE)</f>
        <v>1086</v>
      </c>
      <c r="E86" s="4" t="str">
        <f>VLOOKUP($B86,'1.2 FY2017'!$B$5:$E$86,4,FALSE)</f>
        <v>G&amp;Resources Ltd</v>
      </c>
      <c r="F86" s="16">
        <f>-SUMIF('1.1 FY2016'!$B:$B,'2.1 Database'!B86,'1.1 FY2016'!$F:$F)</f>
        <v>0</v>
      </c>
      <c r="G86" s="16">
        <f>-SUMIF('1.2 FY2017'!$B:$B,'2.1 Database'!B86,'1.2 FY2017'!$F:$F)</f>
        <v>0</v>
      </c>
      <c r="H86" s="16">
        <f>-SUMIF('1.3 FY2018'!$B:$B,'2.1 Database'!B86,'1.3 FY2018'!$F:$F)</f>
        <v>0</v>
      </c>
      <c r="J86" s="31">
        <v>0</v>
      </c>
      <c r="K86" s="2">
        <f>+COUNTIF('2.2 P&amp;L statement'!$B$4:$B$24,'2.1 Database'!J86)</f>
        <v>0</v>
      </c>
    </row>
    <row r="87" spans="2:11" x14ac:dyDescent="0.25">
      <c r="B87" s="2" t="s">
        <v>183</v>
      </c>
      <c r="C87" s="4" t="str">
        <f>VLOOKUP($B87,'1.2 FY2017'!$B$5:$E$86,2,FALSE)</f>
        <v>Interest income</v>
      </c>
      <c r="D87" s="4" t="str">
        <f>VLOOKUP($B87,'1.2 FY2017'!$B$5:$E$86,3,FALSE)</f>
        <v>1086</v>
      </c>
      <c r="E87" s="4" t="str">
        <f>VLOOKUP($B87,'1.2 FY2017'!$B$5:$E$86,4,FALSE)</f>
        <v>G&amp;Resources Ltd</v>
      </c>
      <c r="F87" s="16">
        <f>-SUMIF('1.1 FY2016'!$B:$B,'2.1 Database'!B87,'1.1 FY2016'!$F:$F)</f>
        <v>0</v>
      </c>
      <c r="G87" s="16">
        <f>-SUMIF('1.2 FY2017'!$B:$B,'2.1 Database'!B87,'1.2 FY2017'!$F:$F)</f>
        <v>0</v>
      </c>
      <c r="H87" s="16">
        <f>-SUMIF('1.3 FY2018'!$B:$B,'2.1 Database'!B87,'1.3 FY2018'!$F:$F)</f>
        <v>0</v>
      </c>
      <c r="J87" s="31" t="s">
        <v>219</v>
      </c>
      <c r="K87" s="2">
        <f>+COUNTIF('2.2 P&amp;L statement'!$B$4:$B$24,'2.1 Database'!J87)</f>
        <v>1</v>
      </c>
    </row>
    <row r="88" spans="2:11" x14ac:dyDescent="0.25">
      <c r="B88" s="2" t="s">
        <v>184</v>
      </c>
      <c r="C88" s="4" t="str">
        <f>VLOOKUP($B88,'1.2 FY2017'!$B$5:$E$86,2,FALSE)</f>
        <v>Interest income</v>
      </c>
      <c r="D88" s="4">
        <f>VLOOKUP($B88,'1.2 FY2017'!$B$5:$E$86,3,FALSE)</f>
        <v>1006</v>
      </c>
      <c r="E88" s="4" t="str">
        <f>VLOOKUP($B88,'1.2 FY2017'!$B$5:$E$86,4,FALSE)</f>
        <v>Generco Mining GmbH</v>
      </c>
      <c r="F88" s="16">
        <f>-SUMIF('1.1 FY2016'!$B:$B,'2.1 Database'!B88,'1.1 FY2016'!$F:$F)</f>
        <v>0</v>
      </c>
      <c r="G88" s="16">
        <f>-SUMIF('1.2 FY2017'!$B:$B,'2.1 Database'!B88,'1.2 FY2017'!$F:$F)</f>
        <v>6778.415</v>
      </c>
      <c r="H88" s="16">
        <f>-SUMIF('1.3 FY2018'!$B:$B,'2.1 Database'!B88,'1.3 FY2018'!$F:$F)</f>
        <v>0</v>
      </c>
      <c r="J88" s="31" t="s">
        <v>219</v>
      </c>
      <c r="K88" s="2">
        <f>+COUNTIF('2.2 P&amp;L statement'!$B$4:$B$24,'2.1 Database'!J88)</f>
        <v>1</v>
      </c>
    </row>
    <row r="89" spans="2:11" x14ac:dyDescent="0.25">
      <c r="B89" s="2" t="s">
        <v>185</v>
      </c>
      <c r="C89" s="4" t="str">
        <f>VLOOKUP($B89,'1.2 FY2017'!$B$5:$E$86,2,FALSE)</f>
        <v>Interest expenses</v>
      </c>
      <c r="D89" s="4">
        <f>VLOOKUP($B89,'1.2 FY2017'!$B$5:$E$86,3,FALSE)</f>
        <v>1007</v>
      </c>
      <c r="E89" s="4" t="str">
        <f>VLOOKUP($B89,'1.2 FY2017'!$B$5:$E$86,4,FALSE)</f>
        <v>Generco Semiconductors Ltd</v>
      </c>
      <c r="F89" s="16">
        <f>-SUMIF('1.1 FY2016'!$B:$B,'2.1 Database'!B89,'1.1 FY2016'!$F:$F)</f>
        <v>0</v>
      </c>
      <c r="G89" s="16">
        <f>-SUMIF('1.2 FY2017'!$B:$B,'2.1 Database'!B89,'1.2 FY2017'!$F:$F)</f>
        <v>0</v>
      </c>
      <c r="H89" s="16">
        <f>-SUMIF('1.3 FY2018'!$B:$B,'2.1 Database'!B89,'1.3 FY2018'!$F:$F)</f>
        <v>0</v>
      </c>
      <c r="J89" s="31" t="s">
        <v>219</v>
      </c>
      <c r="K89" s="2">
        <f>+COUNTIF('2.2 P&amp;L statement'!$B$4:$B$24,'2.1 Database'!J89)</f>
        <v>1</v>
      </c>
    </row>
    <row r="90" spans="2:11" x14ac:dyDescent="0.25">
      <c r="B90" s="2" t="s">
        <v>186</v>
      </c>
      <c r="C90" s="4" t="str">
        <f>VLOOKUP($B90,'1.2 FY2017'!$B$5:$E$86,2,FALSE)</f>
        <v>Interest expenses</v>
      </c>
      <c r="D90" s="4">
        <f>VLOOKUP($B90,'1.2 FY2017'!$B$5:$E$86,3,FALSE)</f>
        <v>111111</v>
      </c>
      <c r="E90" s="4" t="str">
        <f>VLOOKUP($B90,'1.2 FY2017'!$B$5:$E$86,4,FALSE)</f>
        <v>External</v>
      </c>
      <c r="F90" s="16">
        <f>-SUMIF('1.1 FY2016'!$B:$B,'2.1 Database'!B90,'1.1 FY2016'!$F:$F)</f>
        <v>0</v>
      </c>
      <c r="G90" s="16">
        <f>-SUMIF('1.2 FY2017'!$B:$B,'2.1 Database'!B90,'1.2 FY2017'!$F:$F)</f>
        <v>-1250.7950000000001</v>
      </c>
      <c r="H90" s="16">
        <f>-SUMIF('1.3 FY2018'!$B:$B,'2.1 Database'!B90,'1.3 FY2018'!$F:$F)</f>
        <v>-51.454999999999998</v>
      </c>
      <c r="J90" s="31" t="s">
        <v>219</v>
      </c>
      <c r="K90" s="2">
        <f>+COUNTIF('2.2 P&amp;L statement'!$B$4:$B$24,'2.1 Database'!J90)</f>
        <v>1</v>
      </c>
    </row>
    <row r="91" spans="2:11" x14ac:dyDescent="0.25">
      <c r="B91" s="2" t="s">
        <v>187</v>
      </c>
      <c r="C91" s="4" t="str">
        <f>VLOOKUP($B91,'1.2 FY2017'!$B$5:$E$86,2,FALSE)</f>
        <v>Impairment of participation</v>
      </c>
      <c r="D91" s="4">
        <f>VLOOKUP($B91,'1.2 FY2017'!$B$5:$E$86,3,FALSE)</f>
        <v>1240</v>
      </c>
      <c r="E91" s="4" t="str">
        <f>VLOOKUP($B91,'1.2 FY2017'!$B$5:$E$86,4,FALSE)</f>
        <v xml:space="preserve">Generco UK </v>
      </c>
      <c r="F91" s="16">
        <f>-SUMIF('1.1 FY2016'!$B:$B,'2.1 Database'!B91,'1.1 FY2016'!$F:$F)</f>
        <v>0</v>
      </c>
      <c r="G91" s="16">
        <f>-SUMIF('1.2 FY2017'!$B:$B,'2.1 Database'!B91,'1.2 FY2017'!$F:$F)</f>
        <v>-4130000</v>
      </c>
      <c r="H91" s="16">
        <f>-SUMIF('1.3 FY2018'!$B:$B,'2.1 Database'!B91,'1.3 FY2018'!$F:$F)</f>
        <v>0</v>
      </c>
      <c r="J91" s="31" t="s">
        <v>220</v>
      </c>
      <c r="K91" s="2">
        <f>+COUNTIF('2.2 P&amp;L statement'!$B$4:$B$24,'2.1 Database'!J91)</f>
        <v>1</v>
      </c>
    </row>
    <row r="92" spans="2:11" x14ac:dyDescent="0.25">
      <c r="B92" s="2" t="s">
        <v>188</v>
      </c>
      <c r="C92" s="4" t="str">
        <f>VLOOKUP($B92,'1.2 FY2017'!$B$5:$E$86,2,FALSE)</f>
        <v>Quarterly changes in current taxes</v>
      </c>
      <c r="D92" s="4">
        <f>VLOOKUP($B92,'1.2 FY2017'!$B$5:$E$86,3,FALSE)</f>
        <v>111101</v>
      </c>
      <c r="E92" s="4" t="str">
        <f>VLOOKUP($B92,'1.2 FY2017'!$B$5:$E$86,4,FALSE)</f>
        <v>Not assigned</v>
      </c>
      <c r="F92" s="16">
        <f>-SUMIF('1.1 FY2016'!$B:$B,'2.1 Database'!B92,'1.1 FY2016'!$F:$F)</f>
        <v>0</v>
      </c>
      <c r="G92" s="16">
        <f>-SUMIF('1.2 FY2017'!$B:$B,'2.1 Database'!B92,'1.2 FY2017'!$F:$F)</f>
        <v>0</v>
      </c>
      <c r="H92" s="16">
        <f>-SUMIF('1.3 FY2018'!$B:$B,'2.1 Database'!B92,'1.3 FY2018'!$F:$F)</f>
        <v>0</v>
      </c>
      <c r="J92" s="31">
        <v>0</v>
      </c>
      <c r="K92" s="2">
        <f>+COUNTIF('2.2 P&amp;L statement'!$B$4:$B$24,'2.1 Database'!J92)</f>
        <v>0</v>
      </c>
    </row>
    <row r="93" spans="2:11" x14ac:dyDescent="0.25">
      <c r="B93" s="18" t="s">
        <v>189</v>
      </c>
      <c r="C93" s="4" t="str">
        <f>VLOOKUP($B93,'1.2 FY2017'!$B$5:$E$86,2,FALSE)</f>
        <v>Net income/(loss)</v>
      </c>
      <c r="D93" s="4">
        <f>VLOOKUP($B93,'1.2 FY2017'!$B$5:$E$86,3,FALSE)</f>
        <v>111101</v>
      </c>
      <c r="E93" s="4" t="str">
        <f>VLOOKUP($B93,'1.2 FY2017'!$B$5:$E$86,4,FALSE)</f>
        <v>Not assigned</v>
      </c>
      <c r="F93" s="16">
        <f>SUMIF('1.1 FY2016'!$B:$B,'2.1 Database'!B93,'1.1 FY2016'!$F:$F)</f>
        <v>0</v>
      </c>
      <c r="G93" s="16">
        <f>SUMIF('1.2 FY2017'!$B:$B,'2.1 Database'!B93,'1.2 FY2017'!$F:$F)</f>
        <v>6073808.1600000001</v>
      </c>
      <c r="H93" s="16">
        <f>SUMIF('1.3 FY2018'!$B:$B,'2.1 Database'!B93,'1.3 FY2018'!$F:$F)</f>
        <v>-779290.47600000002</v>
      </c>
      <c r="J93" s="31" t="s">
        <v>231</v>
      </c>
      <c r="K93" s="2">
        <f>+COUNTIF('2.2 P&amp;L statement'!$B$4:$B$24,'2.1 Database'!J93)</f>
        <v>1</v>
      </c>
    </row>
    <row r="94" spans="2:11" x14ac:dyDescent="0.25">
      <c r="B94" s="2" t="s">
        <v>190</v>
      </c>
      <c r="C94" s="4" t="str">
        <f>+VLOOKUP($B94,'1.3 FY2018'!$B$5:$E$78,2,FALSE)</f>
        <v>Operating expenses for utilities</v>
      </c>
      <c r="D94" s="4">
        <f>+VLOOKUP($B94,'1.3 FY2018'!$B$5:$E$78,3,FALSE)</f>
        <v>111111</v>
      </c>
      <c r="E94" s="4" t="str">
        <f>+VLOOKUP($B94,'1.3 FY2018'!$B$5:$E$78,4,FALSE)</f>
        <v>External</v>
      </c>
      <c r="F94" s="16">
        <f>-SUMIF('1.1 FY2016'!$B:$B,'2.1 Database'!B94,'1.1 FY2016'!$F:$F)</f>
        <v>0</v>
      </c>
      <c r="G94" s="16">
        <f>-SUMIF('1.2 FY2017'!$B:$B,'2.1 Database'!B94,'1.2 FY2017'!$F:$F)</f>
        <v>0</v>
      </c>
      <c r="H94" s="16">
        <f>-SUMIF('1.3 FY2018'!$B:$B,'2.1 Database'!B94,'1.3 FY2018'!$F:$F)</f>
        <v>-13691.949999999999</v>
      </c>
      <c r="J94" s="31" t="s">
        <v>227</v>
      </c>
      <c r="K94" s="2">
        <f>+COUNTIF('2.2 P&amp;L statement'!$B$4:$B$24,'2.1 Database'!J94)</f>
        <v>1</v>
      </c>
    </row>
    <row r="95" spans="2:11" x14ac:dyDescent="0.25">
      <c r="B95" s="2" t="s">
        <v>191</v>
      </c>
      <c r="C95" s="4" t="str">
        <f>+VLOOKUP($B95,'1.3 FY2018'!$B$5:$E$78,2,FALSE)</f>
        <v>R&amp;D expenses</v>
      </c>
      <c r="D95" s="4" t="str">
        <f>+VLOOKUP($B95,'1.3 FY2018'!$B$5:$E$78,3,FALSE)</f>
        <v>2185</v>
      </c>
      <c r="E95" s="4" t="str">
        <f>+VLOOKUP($B95,'1.3 FY2018'!$B$5:$E$78,4,FALSE)</f>
        <v>Generco Green Projects GmbH</v>
      </c>
      <c r="F95" s="16">
        <f>-SUMIF('1.1 FY2016'!$B:$B,'2.1 Database'!B95,'1.1 FY2016'!$F:$F)</f>
        <v>0</v>
      </c>
      <c r="G95" s="16">
        <f>-SUMIF('1.2 FY2017'!$B:$B,'2.1 Database'!B95,'1.2 FY2017'!$F:$F)</f>
        <v>0</v>
      </c>
      <c r="H95" s="16">
        <f>-SUMIF('1.3 FY2018'!$B:$B,'2.1 Database'!B95,'1.3 FY2018'!$F:$F)</f>
        <v>-192017.14499999996</v>
      </c>
      <c r="J95" s="31" t="s">
        <v>227</v>
      </c>
      <c r="K95" s="2">
        <f>+COUNTIF('2.2 P&amp;L statement'!$B$4:$B$24,'2.1 Database'!J95)</f>
        <v>1</v>
      </c>
    </row>
    <row r="96" spans="2:11" x14ac:dyDescent="0.25">
      <c r="B96" s="2" t="s">
        <v>192</v>
      </c>
      <c r="C96" s="4" t="str">
        <f>+VLOOKUP($B96,'1.3 FY2018'!$B$5:$E$78,2,FALSE)</f>
        <v>R&amp;D expenses</v>
      </c>
      <c r="D96" s="4" t="str">
        <f>+VLOOKUP($B96,'1.3 FY2018'!$B$5:$E$78,3,FALSE)</f>
        <v>2240</v>
      </c>
      <c r="E96" s="4" t="str">
        <f>+VLOOKUP($B96,'1.3 FY2018'!$B$5:$E$78,4,FALSE)</f>
        <v>Greeny Germany GmbH</v>
      </c>
      <c r="F96" s="16">
        <f>-SUMIF('1.1 FY2016'!$B:$B,'2.1 Database'!B96,'1.1 FY2016'!$F:$F)</f>
        <v>0</v>
      </c>
      <c r="G96" s="16">
        <f>-SUMIF('1.2 FY2017'!$B:$B,'2.1 Database'!B96,'1.2 FY2017'!$F:$F)</f>
        <v>0</v>
      </c>
      <c r="H96" s="16">
        <f>-SUMIF('1.3 FY2018'!$B:$B,'2.1 Database'!B96,'1.3 FY2018'!$F:$F)</f>
        <v>-375290.46599999996</v>
      </c>
      <c r="J96" s="31" t="s">
        <v>227</v>
      </c>
      <c r="K96" s="2">
        <f>+COUNTIF('2.2 P&amp;L statement'!$B$4:$B$24,'2.1 Database'!J96)</f>
        <v>1</v>
      </c>
    </row>
    <row r="97" spans="2:11" x14ac:dyDescent="0.25">
      <c r="B97" s="2" t="s">
        <v>193</v>
      </c>
      <c r="C97" s="4" t="str">
        <f>+VLOOKUP($B97,'1.3 FY2018'!$B$5:$E$78,2,FALSE)</f>
        <v>R&amp;D expenses</v>
      </c>
      <c r="D97" s="4">
        <f>+VLOOKUP($B97,'1.3 FY2018'!$B$5:$E$78,3,FALSE)</f>
        <v>17000</v>
      </c>
      <c r="E97" s="4" t="str">
        <f>+VLOOKUP($B97,'1.3 FY2018'!$B$5:$E$78,4,FALSE)</f>
        <v>Generco Risk Management Ltd</v>
      </c>
      <c r="F97" s="16">
        <f>-SUMIF('1.1 FY2016'!$B:$B,'2.1 Database'!B97,'1.1 FY2016'!$F:$F)</f>
        <v>0</v>
      </c>
      <c r="G97" s="16">
        <f>-SUMIF('1.2 FY2017'!$B:$B,'2.1 Database'!B97,'1.2 FY2017'!$F:$F)</f>
        <v>0</v>
      </c>
      <c r="H97" s="16">
        <f>-SUMIF('1.3 FY2018'!$B:$B,'2.1 Database'!B97,'1.3 FY2018'!$F:$F)</f>
        <v>-4920</v>
      </c>
      <c r="J97" s="31" t="s">
        <v>227</v>
      </c>
      <c r="K97" s="2">
        <f>+COUNTIF('2.2 P&amp;L statement'!$B$4:$B$24,'2.1 Database'!J97)</f>
        <v>1</v>
      </c>
    </row>
    <row r="98" spans="2:11" x14ac:dyDescent="0.25">
      <c r="B98" s="2" t="s">
        <v>194</v>
      </c>
      <c r="C98" s="4" t="str">
        <f>+VLOOKUP($B98,'1.3 FY2018'!$B$5:$E$78,2,FALSE)</f>
        <v>Other operative currency differences</v>
      </c>
      <c r="D98" s="4" t="str">
        <f>+VLOOKUP($B98,'1.3 FY2018'!$B$5:$E$78,3,FALSE)</f>
        <v>1118</v>
      </c>
      <c r="E98" s="4" t="str">
        <f>+VLOOKUP($B98,'1.3 FY2018'!$B$5:$E$78,4,FALSE)</f>
        <v>Gener Green LLC</v>
      </c>
      <c r="F98" s="16">
        <f>-SUMIF('1.1 FY2016'!$B:$B,'2.1 Database'!B98,'1.1 FY2016'!$F:$F)</f>
        <v>0</v>
      </c>
      <c r="G98" s="16">
        <f>-SUMIF('1.2 FY2017'!$B:$B,'2.1 Database'!B98,'1.2 FY2017'!$F:$F)</f>
        <v>0</v>
      </c>
      <c r="H98" s="16">
        <f>-SUMIF('1.3 FY2018'!$B:$B,'2.1 Database'!B98,'1.3 FY2018'!$F:$F)</f>
        <v>0</v>
      </c>
      <c r="J98" s="31" t="s">
        <v>227</v>
      </c>
      <c r="K98" s="2">
        <f>+COUNTIF('2.2 P&amp;L statement'!$B$4:$B$24,'2.1 Database'!J98)</f>
        <v>1</v>
      </c>
    </row>
    <row r="99" spans="2:11" x14ac:dyDescent="0.25">
      <c r="B99" s="2" t="s">
        <v>195</v>
      </c>
      <c r="C99" s="4" t="str">
        <f>+VLOOKUP($B99,'1.3 FY2018'!$B$5:$E$78,2,FALSE)</f>
        <v>Other operative currency differences</v>
      </c>
      <c r="D99" s="4">
        <f>+VLOOKUP($B99,'1.3 FY2018'!$B$5:$E$78,3,FALSE)</f>
        <v>111111</v>
      </c>
      <c r="E99" s="4" t="str">
        <f>+VLOOKUP($B99,'1.3 FY2018'!$B$5:$E$78,4,FALSE)</f>
        <v>External</v>
      </c>
      <c r="F99" s="16">
        <f>-SUMIF('1.1 FY2016'!$B:$B,'2.1 Database'!B99,'1.1 FY2016'!$F:$F)</f>
        <v>0</v>
      </c>
      <c r="G99" s="16">
        <f>-SUMIF('1.2 FY2017'!$B:$B,'2.1 Database'!B99,'1.2 FY2017'!$F:$F)</f>
        <v>0</v>
      </c>
      <c r="H99" s="16">
        <f>-SUMIF('1.3 FY2018'!$B:$B,'2.1 Database'!B99,'1.3 FY2018'!$F:$F)</f>
        <v>1252.8369999999998</v>
      </c>
      <c r="J99" s="31" t="s">
        <v>227</v>
      </c>
      <c r="K99" s="2">
        <f>+COUNTIF('2.2 P&amp;L statement'!$B$4:$B$24,'2.1 Database'!J99)</f>
        <v>1</v>
      </c>
    </row>
    <row r="100" spans="2:11" x14ac:dyDescent="0.25">
      <c r="B100" s="2" t="s">
        <v>196</v>
      </c>
      <c r="C100" s="4" t="str">
        <f>+VLOOKUP($B100,'1.3 FY2018'!$B$5:$E$78,2,FALSE)</f>
        <v>Corporate recharges</v>
      </c>
      <c r="D100" s="4">
        <f>+VLOOKUP($B100,'1.3 FY2018'!$B$5:$E$78,3,FALSE)</f>
        <v>1006</v>
      </c>
      <c r="E100" s="4" t="str">
        <f>+VLOOKUP($B100,'1.3 FY2018'!$B$5:$E$78,4,FALSE)</f>
        <v>Generco Mining GmbH</v>
      </c>
      <c r="F100" s="16">
        <f>-SUMIF('1.1 FY2016'!$B:$B,'2.1 Database'!B100,'1.1 FY2016'!$F:$F)</f>
        <v>0</v>
      </c>
      <c r="G100" s="16">
        <f>-SUMIF('1.2 FY2017'!$B:$B,'2.1 Database'!B100,'1.2 FY2017'!$F:$F)</f>
        <v>0</v>
      </c>
      <c r="H100" s="16">
        <f>-SUMIF('1.3 FY2018'!$B:$B,'2.1 Database'!B100,'1.3 FY2018'!$F:$F)</f>
        <v>0</v>
      </c>
      <c r="J100" s="31" t="s">
        <v>215</v>
      </c>
      <c r="K100" s="2">
        <f>+COUNTIF('2.2 P&amp;L statement'!$B$4:$B$24,'2.1 Database'!J100)</f>
        <v>1</v>
      </c>
    </row>
    <row r="101" spans="2:11" x14ac:dyDescent="0.25">
      <c r="B101" s="2" t="s">
        <v>197</v>
      </c>
      <c r="C101" s="4" t="str">
        <f>+VLOOKUP($B101,'1.3 FY2018'!$B$5:$E$78,2,FALSE)</f>
        <v>Reimbursements+compensation for damages</v>
      </c>
      <c r="D101" s="4">
        <f>+VLOOKUP($B101,'1.3 FY2018'!$B$5:$E$78,3,FALSE)</f>
        <v>111111</v>
      </c>
      <c r="E101" s="4" t="str">
        <f>+VLOOKUP($B101,'1.3 FY2018'!$B$5:$E$78,4,FALSE)</f>
        <v>External</v>
      </c>
      <c r="F101" s="16">
        <f>-SUMIF('1.1 FY2016'!$B:$B,'2.1 Database'!B101,'1.1 FY2016'!$F:$F)</f>
        <v>0</v>
      </c>
      <c r="G101" s="16">
        <f>-SUMIF('1.2 FY2017'!$B:$B,'2.1 Database'!B101,'1.2 FY2017'!$F:$F)</f>
        <v>0</v>
      </c>
      <c r="H101" s="16">
        <f>-SUMIF('1.3 FY2018'!$B:$B,'2.1 Database'!B101,'1.3 FY2018'!$F:$F)</f>
        <v>61499.999999999993</v>
      </c>
      <c r="J101" s="31" t="s">
        <v>227</v>
      </c>
      <c r="K101" s="2">
        <f>+COUNTIF('2.2 P&amp;L statement'!$B$4:$B$24,'2.1 Database'!J101)</f>
        <v>1</v>
      </c>
    </row>
    <row r="102" spans="2:11" x14ac:dyDescent="0.25">
      <c r="B102" s="2" t="s">
        <v>198</v>
      </c>
      <c r="C102" s="4" t="str">
        <f>+VLOOKUP($B102,'1.3 FY2018'!$B$5:$E$78,2,FALSE)</f>
        <v>Other income</v>
      </c>
      <c r="D102" s="4">
        <f>+VLOOKUP($B102,'1.3 FY2018'!$B$5:$E$78,3,FALSE)</f>
        <v>105</v>
      </c>
      <c r="E102" s="4" t="str">
        <f>+VLOOKUP($B102,'1.3 FY2018'!$B$5:$E$78,4,FALSE)</f>
        <v>Generco Healthcare Ltd</v>
      </c>
      <c r="F102" s="16">
        <f>-SUMIF('1.1 FY2016'!$B:$B,'2.1 Database'!B102,'1.1 FY2016'!$F:$F)</f>
        <v>0</v>
      </c>
      <c r="G102" s="16">
        <f>-SUMIF('1.2 FY2017'!$B:$B,'2.1 Database'!B102,'1.2 FY2017'!$F:$F)</f>
        <v>0</v>
      </c>
      <c r="H102" s="16">
        <f>-SUMIF('1.3 FY2018'!$B:$B,'2.1 Database'!B102,'1.3 FY2018'!$F:$F)</f>
        <v>30913.425999999996</v>
      </c>
      <c r="J102" s="31" t="s">
        <v>71</v>
      </c>
      <c r="K102" s="2">
        <f>+COUNTIF('2.2 P&amp;L statement'!$B$4:$B$24,'2.1 Database'!J102)</f>
        <v>1</v>
      </c>
    </row>
    <row r="103" spans="2:11" x14ac:dyDescent="0.25">
      <c r="B103" s="2" t="s">
        <v>199</v>
      </c>
      <c r="C103" s="4" t="str">
        <f>+VLOOKUP($B103,'1.3 FY2018'!$B$5:$E$78,2,FALSE)</f>
        <v>Leasings</v>
      </c>
      <c r="D103" s="4">
        <f>+VLOOKUP($B103,'1.3 FY2018'!$B$5:$E$78,3,FALSE)</f>
        <v>105</v>
      </c>
      <c r="E103" s="4" t="str">
        <f>+VLOOKUP($B103,'1.3 FY2018'!$B$5:$E$78,4,FALSE)</f>
        <v>Generco Healthcare Ltd</v>
      </c>
      <c r="F103" s="16">
        <f>-SUMIF('1.1 FY2016'!$B:$B,'2.1 Database'!B103,'1.1 FY2016'!$F:$F)</f>
        <v>0</v>
      </c>
      <c r="G103" s="16">
        <f>-SUMIF('1.2 FY2017'!$B:$B,'2.1 Database'!B103,'1.2 FY2017'!$F:$F)</f>
        <v>0</v>
      </c>
      <c r="H103" s="16">
        <f>-SUMIF('1.3 FY2018'!$B:$B,'2.1 Database'!B103,'1.3 FY2018'!$F:$F)</f>
        <v>1423120</v>
      </c>
      <c r="J103" s="31" t="s">
        <v>216</v>
      </c>
      <c r="K103" s="2">
        <f>+COUNTIF('2.2 P&amp;L statement'!$B$4:$B$24,'2.1 Database'!J103)</f>
        <v>1</v>
      </c>
    </row>
    <row r="104" spans="2:11" x14ac:dyDescent="0.25">
      <c r="B104" s="2" t="s">
        <v>200</v>
      </c>
      <c r="C104" s="4" t="str">
        <f>+VLOOKUP($B104,'1.3 FY2018'!$B$5:$E$78,2,FALSE)</f>
        <v>Insurance expenses</v>
      </c>
      <c r="D104" s="4">
        <f>+VLOOKUP($B104,'1.3 FY2018'!$B$5:$E$78,3,FALSE)</f>
        <v>88</v>
      </c>
      <c r="E104" s="4" t="str">
        <f>+VLOOKUP($B104,'1.3 FY2018'!$B$5:$E$78,4,FALSE)</f>
        <v>Generco Ltd</v>
      </c>
      <c r="F104" s="16">
        <f>-SUMIF('1.1 FY2016'!$B:$B,'2.1 Database'!B104,'1.1 FY2016'!$F:$F)</f>
        <v>0</v>
      </c>
      <c r="G104" s="16">
        <f>-SUMIF('1.2 FY2017'!$B:$B,'2.1 Database'!B104,'1.2 FY2017'!$F:$F)</f>
        <v>0</v>
      </c>
      <c r="H104" s="16">
        <f>-SUMIF('1.3 FY2018'!$B:$B,'2.1 Database'!B104,'1.3 FY2018'!$F:$F)</f>
        <v>-584.66</v>
      </c>
      <c r="J104" s="31" t="s">
        <v>227</v>
      </c>
      <c r="K104" s="2">
        <f>+COUNTIF('2.2 P&amp;L statement'!$B$4:$B$24,'2.1 Database'!J104)</f>
        <v>1</v>
      </c>
    </row>
    <row r="105" spans="2:11" x14ac:dyDescent="0.25">
      <c r="B105" s="2" t="s">
        <v>201</v>
      </c>
      <c r="C105" s="4" t="str">
        <f>+VLOOKUP($B105,'1.3 FY2018'!$B$5:$E$78,2,FALSE)</f>
        <v>Repairs/Maintenance costs</v>
      </c>
      <c r="D105" s="4">
        <f>+VLOOKUP($B105,'1.3 FY2018'!$B$5:$E$78,3,FALSE)</f>
        <v>111111</v>
      </c>
      <c r="E105" s="4" t="str">
        <f>+VLOOKUP($B105,'1.3 FY2018'!$B$5:$E$78,4,FALSE)</f>
        <v>External</v>
      </c>
      <c r="F105" s="16">
        <f>-SUMIF('1.1 FY2016'!$B:$B,'2.1 Database'!B105,'1.1 FY2016'!$F:$F)</f>
        <v>0</v>
      </c>
      <c r="G105" s="16">
        <f>-SUMIF('1.2 FY2017'!$B:$B,'2.1 Database'!B105,'1.2 FY2017'!$F:$F)</f>
        <v>0</v>
      </c>
      <c r="H105" s="16">
        <f>-SUMIF('1.3 FY2018'!$B:$B,'2.1 Database'!B105,'1.3 FY2018'!$F:$F)</f>
        <v>-1352.9999999999998</v>
      </c>
      <c r="J105" s="31" t="s">
        <v>227</v>
      </c>
      <c r="K105" s="2">
        <f>+COUNTIF('2.2 P&amp;L statement'!$B$4:$B$24,'2.1 Database'!J105)</f>
        <v>1</v>
      </c>
    </row>
    <row r="106" spans="2:11" x14ac:dyDescent="0.25">
      <c r="B106" s="2" t="s">
        <v>202</v>
      </c>
      <c r="C106" s="4" t="str">
        <f>+VLOOKUP($B106,'1.3 FY2018'!$B$5:$E$78,2,FALSE)</f>
        <v>Impairment of participation</v>
      </c>
      <c r="D106" s="4">
        <f>+VLOOKUP($B106,'1.3 FY2018'!$B$5:$E$78,3,FALSE)</f>
        <v>111101</v>
      </c>
      <c r="E106" s="4" t="str">
        <f>+VLOOKUP($B106,'1.3 FY2018'!$B$5:$E$78,4,FALSE)</f>
        <v>Not assigned</v>
      </c>
      <c r="F106" s="16">
        <f>-SUMIF('1.1 FY2016'!$B:$B,'2.1 Database'!B106,'1.1 FY2016'!$F:$F)</f>
        <v>0</v>
      </c>
      <c r="G106" s="16">
        <f>-SUMIF('1.2 FY2017'!$B:$B,'2.1 Database'!B106,'1.2 FY2017'!$F:$F)</f>
        <v>0</v>
      </c>
      <c r="H106" s="16">
        <f>-SUMIF('1.3 FY2018'!$B:$B,'2.1 Database'!B106,'1.3 FY2018'!$F:$F)</f>
        <v>0</v>
      </c>
      <c r="J106" s="31">
        <v>0</v>
      </c>
      <c r="K106" s="2">
        <f>+COUNTIF('2.2 P&amp;L statement'!$B$4:$B$24,'2.1 Database'!J106)</f>
        <v>0</v>
      </c>
    </row>
    <row r="107" spans="2:11" x14ac:dyDescent="0.25">
      <c r="B107" s="2" t="s">
        <v>203</v>
      </c>
      <c r="C107" s="4" t="str">
        <f>+VLOOKUP($B107,'1.3 FY2018'!$B$5:$E$78,2,FALSE)</f>
        <v>Offset segments (tech.)</v>
      </c>
      <c r="D107" s="4">
        <f>+VLOOKUP($B107,'1.3 FY2018'!$B$5:$E$78,3,FALSE)</f>
        <v>111101</v>
      </c>
      <c r="E107" s="4" t="str">
        <f>+VLOOKUP($B107,'1.3 FY2018'!$B$5:$E$78,4,FALSE)</f>
        <v>Not assigned</v>
      </c>
      <c r="F107" s="16">
        <f>-SUMIF('1.1 FY2016'!$B:$B,'2.1 Database'!B107,'1.1 FY2016'!$F:$F)</f>
        <v>0</v>
      </c>
      <c r="G107" s="16">
        <f>-SUMIF('1.2 FY2017'!$B:$B,'2.1 Database'!B107,'1.2 FY2017'!$F:$F)</f>
        <v>0</v>
      </c>
      <c r="H107" s="16">
        <f>-SUMIF('1.3 FY2018'!$B:$B,'2.1 Database'!B107,'1.3 FY2018'!$F:$F)</f>
        <v>0</v>
      </c>
      <c r="J107" s="31">
        <v>0</v>
      </c>
      <c r="K107" s="2">
        <f>+COUNTIF('2.2 P&amp;L statement'!$B$4:$B$24,'2.1 Database'!J107)</f>
        <v>0</v>
      </c>
    </row>
    <row r="108" spans="2:11" ht="14.5" x14ac:dyDescent="0.35">
      <c r="B108"/>
      <c r="J108" s="22" t="s">
        <v>100</v>
      </c>
      <c r="K108" s="2" t="s">
        <v>100</v>
      </c>
    </row>
    <row r="109" spans="2:11" ht="14.5" x14ac:dyDescent="0.35">
      <c r="B109"/>
    </row>
    <row r="110" spans="2:11" ht="14.5" x14ac:dyDescent="0.35">
      <c r="B110"/>
    </row>
    <row r="111" spans="2:11" ht="14.5" x14ac:dyDescent="0.35">
      <c r="B111"/>
    </row>
    <row r="112" spans="2:11" ht="14.5" x14ac:dyDescent="0.35">
      <c r="B112"/>
    </row>
    <row r="113" spans="2:2" ht="14.5" x14ac:dyDescent="0.35">
      <c r="B113"/>
    </row>
    <row r="114" spans="2:2" ht="14.5" x14ac:dyDescent="0.35">
      <c r="B114"/>
    </row>
    <row r="115" spans="2:2" ht="14.5" x14ac:dyDescent="0.35">
      <c r="B115"/>
    </row>
    <row r="116" spans="2:2" ht="14.5" x14ac:dyDescent="0.35">
      <c r="B116"/>
    </row>
    <row r="117" spans="2:2" ht="14.5" x14ac:dyDescent="0.35">
      <c r="B117"/>
    </row>
    <row r="118" spans="2:2" ht="14.5" x14ac:dyDescent="0.35">
      <c r="B118"/>
    </row>
    <row r="119" spans="2:2" ht="14.5" x14ac:dyDescent="0.35">
      <c r="B119"/>
    </row>
    <row r="120" spans="2:2" ht="14.5" x14ac:dyDescent="0.35">
      <c r="B120"/>
    </row>
    <row r="121" spans="2:2" ht="14.5" x14ac:dyDescent="0.35">
      <c r="B121"/>
    </row>
    <row r="122" spans="2:2" ht="14.5" x14ac:dyDescent="0.35">
      <c r="B122"/>
    </row>
    <row r="123" spans="2:2" ht="14.5" x14ac:dyDescent="0.35">
      <c r="B123"/>
    </row>
    <row r="124" spans="2:2" ht="14.5" x14ac:dyDescent="0.35">
      <c r="B124"/>
    </row>
    <row r="125" spans="2:2" ht="14.5" x14ac:dyDescent="0.35">
      <c r="B125"/>
    </row>
    <row r="126" spans="2:2" ht="14.5" x14ac:dyDescent="0.35">
      <c r="B126"/>
    </row>
    <row r="127" spans="2:2" ht="14.5" x14ac:dyDescent="0.35">
      <c r="B127"/>
    </row>
    <row r="128" spans="2:2" ht="14.5" x14ac:dyDescent="0.35">
      <c r="B128"/>
    </row>
    <row r="129" spans="2:2" ht="14.5" x14ac:dyDescent="0.35">
      <c r="B129"/>
    </row>
    <row r="130" spans="2:2" ht="14.5" x14ac:dyDescent="0.35">
      <c r="B130"/>
    </row>
    <row r="131" spans="2:2" ht="14.5" x14ac:dyDescent="0.35">
      <c r="B131"/>
    </row>
    <row r="132" spans="2:2" ht="14.5" x14ac:dyDescent="0.35">
      <c r="B132"/>
    </row>
    <row r="133" spans="2:2" ht="14.5" x14ac:dyDescent="0.35">
      <c r="B133"/>
    </row>
    <row r="134" spans="2:2" ht="14.5" x14ac:dyDescent="0.35">
      <c r="B134"/>
    </row>
    <row r="135" spans="2:2" ht="14.5" x14ac:dyDescent="0.35">
      <c r="B135"/>
    </row>
    <row r="136" spans="2:2" ht="14.5" x14ac:dyDescent="0.35">
      <c r="B136"/>
    </row>
    <row r="137" spans="2:2" ht="14.5" x14ac:dyDescent="0.35">
      <c r="B137"/>
    </row>
    <row r="138" spans="2:2" ht="14.5" x14ac:dyDescent="0.35">
      <c r="B138"/>
    </row>
    <row r="139" spans="2:2" ht="14.5" x14ac:dyDescent="0.35">
      <c r="B139"/>
    </row>
    <row r="140" spans="2:2" ht="14.5" x14ac:dyDescent="0.35">
      <c r="B140"/>
    </row>
    <row r="141" spans="2:2" ht="14.5" x14ac:dyDescent="0.35">
      <c r="B141"/>
    </row>
    <row r="142" spans="2:2" ht="14.5" x14ac:dyDescent="0.35">
      <c r="B142"/>
    </row>
    <row r="143" spans="2:2" ht="14.5" x14ac:dyDescent="0.35">
      <c r="B143"/>
    </row>
    <row r="144" spans="2:2" ht="14.5" x14ac:dyDescent="0.35">
      <c r="B144"/>
    </row>
    <row r="145" spans="2:2" ht="14.5" x14ac:dyDescent="0.35">
      <c r="B145"/>
    </row>
    <row r="146" spans="2:2" ht="14.5" x14ac:dyDescent="0.35">
      <c r="B146"/>
    </row>
    <row r="147" spans="2:2" ht="14.5" x14ac:dyDescent="0.35">
      <c r="B147"/>
    </row>
    <row r="148" spans="2:2" ht="14.5" x14ac:dyDescent="0.35">
      <c r="B148"/>
    </row>
    <row r="149" spans="2:2" ht="14.5" x14ac:dyDescent="0.35">
      <c r="B149"/>
    </row>
    <row r="150" spans="2:2" ht="14.5" x14ac:dyDescent="0.35">
      <c r="B150"/>
    </row>
    <row r="151" spans="2:2" ht="14.5" x14ac:dyDescent="0.35">
      <c r="B151"/>
    </row>
    <row r="152" spans="2:2" ht="14.5" x14ac:dyDescent="0.35">
      <c r="B152"/>
    </row>
    <row r="153" spans="2:2" ht="14.5" x14ac:dyDescent="0.35">
      <c r="B153"/>
    </row>
    <row r="154" spans="2:2" ht="14.5" x14ac:dyDescent="0.35">
      <c r="B154"/>
    </row>
    <row r="155" spans="2:2" ht="14.5" x14ac:dyDescent="0.35">
      <c r="B155"/>
    </row>
    <row r="156" spans="2:2" ht="14.5" x14ac:dyDescent="0.35">
      <c r="B156"/>
    </row>
    <row r="157" spans="2:2" ht="14.5" x14ac:dyDescent="0.35">
      <c r="B157"/>
    </row>
    <row r="158" spans="2:2" ht="14.5" x14ac:dyDescent="0.35">
      <c r="B158"/>
    </row>
    <row r="159" spans="2:2" ht="14.5" x14ac:dyDescent="0.35">
      <c r="B159"/>
    </row>
    <row r="160" spans="2:2" ht="14.5" x14ac:dyDescent="0.35">
      <c r="B160"/>
    </row>
    <row r="161" spans="2:2" ht="14.5" x14ac:dyDescent="0.35">
      <c r="B161"/>
    </row>
    <row r="162" spans="2:2" ht="14.5" x14ac:dyDescent="0.35">
      <c r="B162"/>
    </row>
    <row r="163" spans="2:2" ht="14.5" x14ac:dyDescent="0.35">
      <c r="B163"/>
    </row>
    <row r="164" spans="2:2" ht="14.5" x14ac:dyDescent="0.35">
      <c r="B164"/>
    </row>
    <row r="165" spans="2:2" ht="14.5" x14ac:dyDescent="0.35">
      <c r="B165"/>
    </row>
    <row r="166" spans="2:2" ht="14.5" x14ac:dyDescent="0.35">
      <c r="B166"/>
    </row>
    <row r="167" spans="2:2" ht="14.5" x14ac:dyDescent="0.35">
      <c r="B167"/>
    </row>
    <row r="168" spans="2:2" ht="14.5" x14ac:dyDescent="0.35">
      <c r="B168"/>
    </row>
    <row r="169" spans="2:2" ht="14.5" x14ac:dyDescent="0.35">
      <c r="B169"/>
    </row>
    <row r="170" spans="2:2" ht="14.5" x14ac:dyDescent="0.35">
      <c r="B170"/>
    </row>
    <row r="171" spans="2:2" ht="14.5" x14ac:dyDescent="0.35">
      <c r="B171"/>
    </row>
    <row r="172" spans="2:2" ht="14.5" x14ac:dyDescent="0.35">
      <c r="B172"/>
    </row>
    <row r="173" spans="2:2" ht="14.5" x14ac:dyDescent="0.35">
      <c r="B173"/>
    </row>
    <row r="174" spans="2:2" ht="14.5" x14ac:dyDescent="0.35">
      <c r="B174"/>
    </row>
    <row r="175" spans="2:2" ht="14.5" x14ac:dyDescent="0.35">
      <c r="B175"/>
    </row>
    <row r="176" spans="2:2" ht="14.5" x14ac:dyDescent="0.35">
      <c r="B176"/>
    </row>
    <row r="177" spans="2:2" ht="14.5" x14ac:dyDescent="0.35">
      <c r="B177"/>
    </row>
    <row r="178" spans="2:2" ht="14.5" x14ac:dyDescent="0.35">
      <c r="B178"/>
    </row>
    <row r="179" spans="2:2" ht="14.5" x14ac:dyDescent="0.35">
      <c r="B179"/>
    </row>
    <row r="180" spans="2:2" ht="14.5" x14ac:dyDescent="0.35">
      <c r="B180"/>
    </row>
    <row r="181" spans="2:2" ht="14.5" x14ac:dyDescent="0.35">
      <c r="B181"/>
    </row>
    <row r="182" spans="2:2" ht="14.5" x14ac:dyDescent="0.35">
      <c r="B182"/>
    </row>
    <row r="183" spans="2:2" ht="14.5" x14ac:dyDescent="0.35">
      <c r="B183"/>
    </row>
    <row r="184" spans="2:2" ht="14.5" x14ac:dyDescent="0.35">
      <c r="B184"/>
    </row>
    <row r="185" spans="2:2" ht="14.5" x14ac:dyDescent="0.35">
      <c r="B185"/>
    </row>
    <row r="186" spans="2:2" ht="14.5" x14ac:dyDescent="0.35">
      <c r="B186"/>
    </row>
    <row r="187" spans="2:2" ht="14.5" x14ac:dyDescent="0.35">
      <c r="B187"/>
    </row>
    <row r="188" spans="2:2" ht="14.5" x14ac:dyDescent="0.35">
      <c r="B188"/>
    </row>
    <row r="189" spans="2:2" ht="14.5" x14ac:dyDescent="0.35">
      <c r="B189"/>
    </row>
    <row r="190" spans="2:2" ht="14.5" x14ac:dyDescent="0.35">
      <c r="B190"/>
    </row>
    <row r="191" spans="2:2" ht="14.5" x14ac:dyDescent="0.35">
      <c r="B191"/>
    </row>
    <row r="192" spans="2:2" ht="14.5" x14ac:dyDescent="0.35">
      <c r="B192"/>
    </row>
    <row r="193" spans="2:2" ht="14.5" x14ac:dyDescent="0.35">
      <c r="B193"/>
    </row>
    <row r="194" spans="2:2" ht="14.5" x14ac:dyDescent="0.35">
      <c r="B194"/>
    </row>
    <row r="195" spans="2:2" ht="14.5" x14ac:dyDescent="0.35">
      <c r="B195"/>
    </row>
    <row r="196" spans="2:2" ht="14.5" x14ac:dyDescent="0.35">
      <c r="B196"/>
    </row>
    <row r="197" spans="2:2" ht="14.5" x14ac:dyDescent="0.35">
      <c r="B197"/>
    </row>
    <row r="198" spans="2:2" ht="14.5" x14ac:dyDescent="0.35">
      <c r="B198"/>
    </row>
    <row r="199" spans="2:2" ht="14.5" x14ac:dyDescent="0.35">
      <c r="B199"/>
    </row>
    <row r="200" spans="2:2" ht="14.5" x14ac:dyDescent="0.35">
      <c r="B200"/>
    </row>
    <row r="201" spans="2:2" ht="14.5" x14ac:dyDescent="0.35">
      <c r="B201"/>
    </row>
    <row r="202" spans="2:2" ht="14.5" x14ac:dyDescent="0.35">
      <c r="B202"/>
    </row>
    <row r="203" spans="2:2" ht="14.5" x14ac:dyDescent="0.35">
      <c r="B203"/>
    </row>
    <row r="204" spans="2:2" ht="14.5" x14ac:dyDescent="0.35">
      <c r="B204"/>
    </row>
    <row r="205" spans="2:2" ht="14.5" x14ac:dyDescent="0.35">
      <c r="B205"/>
    </row>
    <row r="206" spans="2:2" ht="14.5" x14ac:dyDescent="0.35">
      <c r="B206"/>
    </row>
    <row r="207" spans="2:2" ht="14.5" x14ac:dyDescent="0.35">
      <c r="B207"/>
    </row>
    <row r="208" spans="2:2" ht="14.5" x14ac:dyDescent="0.35">
      <c r="B208"/>
    </row>
    <row r="209" spans="2:2" ht="14.5" x14ac:dyDescent="0.35">
      <c r="B209"/>
    </row>
    <row r="210" spans="2:2" ht="14.5" x14ac:dyDescent="0.35">
      <c r="B210"/>
    </row>
    <row r="211" spans="2:2" ht="14.5" x14ac:dyDescent="0.35">
      <c r="B211"/>
    </row>
    <row r="212" spans="2:2" ht="14.5" x14ac:dyDescent="0.35">
      <c r="B212"/>
    </row>
    <row r="213" spans="2:2" ht="14.5" x14ac:dyDescent="0.35">
      <c r="B213"/>
    </row>
    <row r="214" spans="2:2" ht="14.5" x14ac:dyDescent="0.35">
      <c r="B214"/>
    </row>
    <row r="215" spans="2:2" ht="14.5" x14ac:dyDescent="0.35">
      <c r="B215"/>
    </row>
    <row r="216" spans="2:2" ht="14.5" x14ac:dyDescent="0.35">
      <c r="B216"/>
    </row>
  </sheetData>
  <autoFilter ref="J3:K108" xr:uid="{00000000-0009-0000-0000-000007000000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33"/>
  <sheetViews>
    <sheetView workbookViewId="0">
      <selection activeCell="C4" sqref="C4"/>
    </sheetView>
  </sheetViews>
  <sheetFormatPr defaultColWidth="9.1796875" defaultRowHeight="12" customHeight="1" outlineLevelRow="1" x14ac:dyDescent="0.25"/>
  <cols>
    <col min="1" max="1" width="2" style="2" customWidth="1"/>
    <col min="2" max="2" width="22.81640625" style="2" bestFit="1" customWidth="1"/>
    <col min="3" max="3" width="12.453125" style="2" bestFit="1" customWidth="1"/>
    <col min="4" max="5" width="9.1796875" style="2"/>
    <col min="6" max="6" width="2" style="2" customWidth="1"/>
    <col min="7" max="16384" width="9.1796875" style="2"/>
  </cols>
  <sheetData>
    <row r="1" spans="1:10" s="16" customFormat="1" ht="15.5" x14ac:dyDescent="0.35">
      <c r="A1" s="2"/>
      <c r="B1" s="3" t="s">
        <v>92</v>
      </c>
      <c r="C1" s="2"/>
    </row>
    <row r="2" spans="1:10" s="16" customFormat="1" ht="11.5" x14ac:dyDescent="0.25">
      <c r="A2" s="2"/>
      <c r="B2" s="2"/>
      <c r="C2" s="2"/>
    </row>
    <row r="3" spans="1:10" s="16" customFormat="1" ht="35" thickBot="1" x14ac:dyDescent="0.3">
      <c r="A3" s="2"/>
      <c r="B3" s="26" t="s">
        <v>232</v>
      </c>
      <c r="C3" s="15" t="s">
        <v>247</v>
      </c>
      <c r="D3" s="30" t="s">
        <v>248</v>
      </c>
      <c r="E3" s="30" t="s">
        <v>249</v>
      </c>
      <c r="G3" s="40" t="s">
        <v>250</v>
      </c>
      <c r="H3" s="40" t="s">
        <v>251</v>
      </c>
      <c r="J3" s="39" t="s">
        <v>235</v>
      </c>
    </row>
    <row r="4" spans="1:10" s="16" customFormat="1" ht="12" customHeight="1" x14ac:dyDescent="0.25">
      <c r="A4" s="2"/>
      <c r="B4" s="16" t="s">
        <v>213</v>
      </c>
      <c r="C4" s="32">
        <f>+SUMIF('2.1 Database'!$J:$J,'2.2 P&amp;L statement'!$B4,'2.1 Database'!F:F)/1000000</f>
        <v>14.500341000000001</v>
      </c>
      <c r="D4" s="32">
        <f>+SUMIF('2.1 Database'!$J:$J,'2.2 P&amp;L statement'!$B4,'2.1 Database'!G:G)/1000000</f>
        <v>16.148295364999999</v>
      </c>
      <c r="E4" s="32">
        <f>+SUMIF('2.1 Database'!$J:$J,'2.2 P&amp;L statement'!$B4,'2.1 Database'!H:H)/1000000</f>
        <v>15.047803019</v>
      </c>
      <c r="G4" s="41">
        <f>+IF(ISERROR((D4/C4)-1),"n.a.",IF(((D4/C4)-1)&gt;1,"&gt;100.0%",IF(((D4/C4)-1)&lt;-1,"&lt;-100.0%",((D4/C4)-1))))</f>
        <v>0.11364935245315944</v>
      </c>
      <c r="H4" s="41">
        <f>+IF(ISERROR((E4/D4)-1),"n.a.",IF(((E4/D4)-1)&gt;1,"&gt;100.0%",IF(((E4/D4)-1)&lt;-1,"&lt;-100.0%",((E4/D4)-1))))</f>
        <v>-6.8149134080444096E-2</v>
      </c>
      <c r="J4" s="16" t="s">
        <v>234</v>
      </c>
    </row>
    <row r="5" spans="1:10" s="16" customFormat="1" ht="12" customHeight="1" x14ac:dyDescent="0.25">
      <c r="A5" s="2"/>
      <c r="B5" s="16" t="s">
        <v>63</v>
      </c>
      <c r="C5" s="32">
        <f>+SUMIF('2.1 Database'!$J:$J,'2.2 P&amp;L statement'!$B5,'2.1 Database'!F:F)/1000000</f>
        <v>4.7948561920000001</v>
      </c>
      <c r="D5" s="32">
        <f>+SUMIF('2.1 Database'!$J:$J,'2.2 P&amp;L statement'!$B5,'2.1 Database'!G:G)/1000000</f>
        <v>6.9602176449999993</v>
      </c>
      <c r="E5" s="32">
        <f>+SUMIF('2.1 Database'!$J:$J,'2.2 P&amp;L statement'!$B5,'2.1 Database'!H:H)/1000000</f>
        <v>6.3736175140000002</v>
      </c>
      <c r="G5" s="41">
        <f t="shared" ref="G5:G24" si="0">+IF(ISERROR((D5/C5)-1),"n.a.",IF(((D5/C5)-1)&gt;1,"&gt;100.0%",IF(((D5/C5)-1)&lt;-1,"&lt;-100.0%",((D5/C5)-1))))</f>
        <v>0.45160091696030569</v>
      </c>
      <c r="H5" s="41">
        <f t="shared" ref="H5:H24" si="1">+IF(ISERROR((E5/D5)-1),"n.a.",IF(((E5/D5)-1)&gt;1,"&gt;100.0%",IF(((E5/D5)-1)&lt;-1,"&lt;-100.0%",((E5/D5)-1))))</f>
        <v>-8.4278992542911935E-2</v>
      </c>
    </row>
    <row r="6" spans="1:10" s="16" customFormat="1" ht="12" customHeight="1" x14ac:dyDescent="0.25">
      <c r="A6" s="2"/>
      <c r="B6" s="16" t="s">
        <v>215</v>
      </c>
      <c r="C6" s="32">
        <f>+SUMIF('2.1 Database'!$J:$J,'2.2 P&amp;L statement'!$B6,'2.1 Database'!F:F)/1000000</f>
        <v>3.2200542519999997</v>
      </c>
      <c r="D6" s="32">
        <f>+SUMIF('2.1 Database'!$J:$J,'2.2 P&amp;L statement'!$B6,'2.1 Database'!G:G)/1000000</f>
        <v>2.9240919949999999</v>
      </c>
      <c r="E6" s="32">
        <f>+SUMIF('2.1 Database'!$J:$J,'2.2 P&amp;L statement'!$B6,'2.1 Database'!H:H)/1000000</f>
        <v>4.8931777299999997</v>
      </c>
      <c r="G6" s="41">
        <f t="shared" si="0"/>
        <v>-9.1912195832158816E-2</v>
      </c>
      <c r="H6" s="41">
        <f t="shared" si="1"/>
        <v>0.67340074743441836</v>
      </c>
    </row>
    <row r="7" spans="1:10" s="16" customFormat="1" ht="12" customHeight="1" x14ac:dyDescent="0.25">
      <c r="A7" s="2"/>
      <c r="B7" s="27" t="s">
        <v>225</v>
      </c>
      <c r="C7" s="33">
        <f>+SUM(C4:C6)</f>
        <v>22.515251444</v>
      </c>
      <c r="D7" s="33">
        <f>+SUM(D4:D6)</f>
        <v>26.032605005000001</v>
      </c>
      <c r="E7" s="33">
        <f>+SUM(E4:E6)</f>
        <v>26.314598263000001</v>
      </c>
      <c r="G7" s="42">
        <f t="shared" si="0"/>
        <v>0.15622093183140207</v>
      </c>
      <c r="H7" s="42">
        <f t="shared" si="1"/>
        <v>1.0832310402506318E-2</v>
      </c>
    </row>
    <row r="8" spans="1:10" s="16" customFormat="1" ht="12" customHeight="1" x14ac:dyDescent="0.25">
      <c r="A8" s="2"/>
      <c r="B8" s="16" t="s">
        <v>224</v>
      </c>
      <c r="C8" s="32">
        <f>+SUMIF('2.1 Database'!$J:$J,'2.2 P&amp;L statement'!$B8,'2.1 Database'!F:F)/1000000</f>
        <v>-4.4289117640000004</v>
      </c>
      <c r="D8" s="32">
        <f>+SUMIF('2.1 Database'!$J:$J,'2.2 P&amp;L statement'!$B8,'2.1 Database'!G:G)/1000000</f>
        <v>-5.4631888250000005</v>
      </c>
      <c r="E8" s="32">
        <f>+SUMIF('2.1 Database'!$J:$J,'2.2 P&amp;L statement'!$B8,'2.1 Database'!H:H)/1000000</f>
        <v>-5.6741520669999996</v>
      </c>
      <c r="G8" s="41">
        <f t="shared" si="0"/>
        <v>0.23352848647991253</v>
      </c>
      <c r="H8" s="41">
        <f t="shared" si="1"/>
        <v>3.861540370609462E-2</v>
      </c>
    </row>
    <row r="9" spans="1:10" s="16" customFormat="1" ht="12" customHeight="1" x14ac:dyDescent="0.25">
      <c r="A9" s="2"/>
      <c r="B9" s="27" t="s">
        <v>226</v>
      </c>
      <c r="C9" s="33">
        <f>+SUM(C7:C8)</f>
        <v>18.086339680000002</v>
      </c>
      <c r="D9" s="33">
        <f>+SUM(D7:D8)</f>
        <v>20.569416180000001</v>
      </c>
      <c r="E9" s="33">
        <f>+SUM(E7:E8)</f>
        <v>20.640446195999999</v>
      </c>
      <c r="G9" s="42">
        <f t="shared" si="0"/>
        <v>0.13729016174266606</v>
      </c>
      <c r="H9" s="42">
        <f t="shared" si="1"/>
        <v>3.4531858064625887E-3</v>
      </c>
    </row>
    <row r="10" spans="1:10" s="16" customFormat="1" ht="12" customHeight="1" x14ac:dyDescent="0.25">
      <c r="A10" s="2"/>
      <c r="B10" s="16" t="s">
        <v>227</v>
      </c>
      <c r="C10" s="32">
        <f>+SUMIF('2.1 Database'!$J:$J,'2.2 P&amp;L statement'!$B10,'2.1 Database'!F:F)/1000000</f>
        <v>-3.3966489799999997</v>
      </c>
      <c r="D10" s="32">
        <f>+SUMIF('2.1 Database'!$J:$J,'2.2 P&amp;L statement'!$B10,'2.1 Database'!G:G)/1000000</f>
        <v>-3.7048433449999996</v>
      </c>
      <c r="E10" s="32">
        <f>+SUMIF('2.1 Database'!$J:$J,'2.2 P&amp;L statement'!$B10,'2.1 Database'!H:H)/1000000</f>
        <v>-6.6874830379999999</v>
      </c>
      <c r="G10" s="41">
        <f t="shared" si="0"/>
        <v>9.0734829184498045E-2</v>
      </c>
      <c r="H10" s="41">
        <f t="shared" si="1"/>
        <v>0.80506499607475335</v>
      </c>
    </row>
    <row r="11" spans="1:10" s="16" customFormat="1" ht="12" customHeight="1" x14ac:dyDescent="0.25">
      <c r="A11" s="2"/>
      <c r="B11" s="16" t="s">
        <v>214</v>
      </c>
      <c r="C11" s="32">
        <f>+SUMIF('2.1 Database'!$J:$J,'2.2 P&amp;L statement'!$B11,'2.1 Database'!F:F)/1000000</f>
        <v>-6.17073904</v>
      </c>
      <c r="D11" s="32">
        <f>+SUMIF('2.1 Database'!$J:$J,'2.2 P&amp;L statement'!$B11,'2.1 Database'!G:G)/1000000</f>
        <v>-8.0718589449999989</v>
      </c>
      <c r="E11" s="32">
        <f>+SUMIF('2.1 Database'!$J:$J,'2.2 P&amp;L statement'!$B11,'2.1 Database'!H:H)/1000000</f>
        <v>-5.8358881759999992</v>
      </c>
      <c r="G11" s="41">
        <f t="shared" si="0"/>
        <v>0.30808625882192531</v>
      </c>
      <c r="H11" s="41">
        <f t="shared" si="1"/>
        <v>-0.27700815688622027</v>
      </c>
    </row>
    <row r="12" spans="1:10" s="16" customFormat="1" ht="12" customHeight="1" x14ac:dyDescent="0.25">
      <c r="A12" s="2"/>
      <c r="B12" s="16" t="s">
        <v>216</v>
      </c>
      <c r="C12" s="32">
        <f>+SUMIF('2.1 Database'!$J:$J,'2.2 P&amp;L statement'!$B12,'2.1 Database'!F:F)/1000000</f>
        <v>-1.127445872</v>
      </c>
      <c r="D12" s="32">
        <f>+SUMIF('2.1 Database'!$J:$J,'2.2 P&amp;L statement'!$B12,'2.1 Database'!G:G)/1000000</f>
        <v>-1.0553814750000001</v>
      </c>
      <c r="E12" s="32">
        <f>+SUMIF('2.1 Database'!$J:$J,'2.2 P&amp;L statement'!$B12,'2.1 Database'!H:H)/1000000</f>
        <v>1.596053449</v>
      </c>
      <c r="G12" s="41">
        <f t="shared" si="0"/>
        <v>-6.391827651305626E-2</v>
      </c>
      <c r="H12" s="41" t="str">
        <f t="shared" si="1"/>
        <v>&lt;-100.0%</v>
      </c>
    </row>
    <row r="13" spans="1:10" s="16" customFormat="1" ht="12" customHeight="1" x14ac:dyDescent="0.25">
      <c r="A13" s="2"/>
      <c r="B13" s="16" t="s">
        <v>217</v>
      </c>
      <c r="C13" s="32">
        <f>+SUMIF('2.1 Database'!$J:$J,'2.2 P&amp;L statement'!$B13,'2.1 Database'!F:F)/1000000</f>
        <v>-2.5430882079999995</v>
      </c>
      <c r="D13" s="32">
        <f>+SUMIF('2.1 Database'!$J:$J,'2.2 P&amp;L statement'!$B13,'2.1 Database'!G:G)/1000000</f>
        <v>-1.837786345</v>
      </c>
      <c r="E13" s="32">
        <f>+SUMIF('2.1 Database'!$J:$J,'2.2 P&amp;L statement'!$B13,'2.1 Database'!H:H)/1000000</f>
        <v>-1.9549839309999999</v>
      </c>
      <c r="G13" s="41">
        <f t="shared" si="0"/>
        <v>-0.27734069969782171</v>
      </c>
      <c r="H13" s="41">
        <f t="shared" si="1"/>
        <v>6.3771061483210545E-2</v>
      </c>
    </row>
    <row r="14" spans="1:10" s="16" customFormat="1" ht="12" customHeight="1" x14ac:dyDescent="0.25">
      <c r="A14" s="2"/>
      <c r="B14" s="16" t="s">
        <v>218</v>
      </c>
      <c r="C14" s="32">
        <f>+SUMIF('2.1 Database'!$J:$J,'2.2 P&amp;L statement'!$B14,'2.1 Database'!F:F)/1000000</f>
        <v>-1.8135250039999999</v>
      </c>
      <c r="D14" s="32">
        <f>+SUMIF('2.1 Database'!$J:$J,'2.2 P&amp;L statement'!$B14,'2.1 Database'!G:G)/1000000</f>
        <v>-2.3932591899999998</v>
      </c>
      <c r="E14" s="32">
        <f>+SUMIF('2.1 Database'!$J:$J,'2.2 P&amp;L statement'!$B14,'2.1 Database'!H:H)/1000000</f>
        <v>-2.5144318869999998</v>
      </c>
      <c r="G14" s="41">
        <f t="shared" si="0"/>
        <v>0.31967256294857238</v>
      </c>
      <c r="H14" s="41">
        <f t="shared" si="1"/>
        <v>5.0630829082912721E-2</v>
      </c>
    </row>
    <row r="15" spans="1:10" s="16" customFormat="1" ht="12" customHeight="1" x14ac:dyDescent="0.25">
      <c r="A15" s="2"/>
      <c r="B15" s="16" t="s">
        <v>71</v>
      </c>
      <c r="C15" s="32">
        <f>+SUMIF('2.1 Database'!$J:$J,'2.2 P&amp;L statement'!$B15,'2.1 Database'!F:F)/1000000</f>
        <v>5.7221999999999995E-5</v>
      </c>
      <c r="D15" s="32">
        <f>+SUMIF('2.1 Database'!$J:$J,'2.2 P&amp;L statement'!$B15,'2.1 Database'!G:G)/1000000</f>
        <v>-7.3574899999999995E-3</v>
      </c>
      <c r="E15" s="32">
        <f>+SUMIF('2.1 Database'!$J:$J,'2.2 P&amp;L statement'!$B15,'2.1 Database'!H:H)/1000000</f>
        <v>4.678542799999999E-2</v>
      </c>
      <c r="G15" s="41" t="str">
        <f t="shared" si="0"/>
        <v>&lt;-100.0%</v>
      </c>
      <c r="H15" s="41" t="str">
        <f t="shared" si="1"/>
        <v>&lt;-100.0%</v>
      </c>
    </row>
    <row r="16" spans="1:10" s="16" customFormat="1" ht="12" customHeight="1" x14ac:dyDescent="0.25">
      <c r="A16" s="2"/>
      <c r="B16" s="16" t="s">
        <v>64</v>
      </c>
      <c r="C16" s="32">
        <f>+SUMIF('2.1 Database'!$J:$J,'2.2 P&amp;L statement'!$B16,'2.1 Database'!F:F)/1000000</f>
        <v>5.2683321979999995</v>
      </c>
      <c r="D16" s="32">
        <f>+SUMIF('2.1 Database'!$J:$J,'2.2 P&amp;L statement'!$B16,'2.1 Database'!G:G)/1000000</f>
        <v>0.74482694999999999</v>
      </c>
      <c r="E16" s="32">
        <f>+SUMIF('2.1 Database'!$J:$J,'2.2 P&amp;L statement'!$B16,'2.1 Database'!H:H)/1000000</f>
        <v>0</v>
      </c>
      <c r="G16" s="41">
        <f t="shared" si="0"/>
        <v>-0.85862187082986985</v>
      </c>
      <c r="H16" s="41">
        <f t="shared" si="1"/>
        <v>-1</v>
      </c>
    </row>
    <row r="17" spans="1:8" s="16" customFormat="1" ht="12" customHeight="1" x14ac:dyDescent="0.25">
      <c r="A17" s="2"/>
      <c r="B17" s="28" t="s">
        <v>228</v>
      </c>
      <c r="C17" s="34">
        <f>+SUM(C9:C16)</f>
        <v>8.3032819960000026</v>
      </c>
      <c r="D17" s="34">
        <f>+SUM(D9:D16)</f>
        <v>4.2437563400000018</v>
      </c>
      <c r="E17" s="34">
        <f>+SUM(E9:E16)</f>
        <v>5.2904980409999993</v>
      </c>
      <c r="G17" s="43">
        <f t="shared" si="0"/>
        <v>-0.48890615276653548</v>
      </c>
      <c r="H17" s="43">
        <f t="shared" si="1"/>
        <v>0.24665452423217982</v>
      </c>
    </row>
    <row r="18" spans="1:8" s="16" customFormat="1" ht="12" customHeight="1" x14ac:dyDescent="0.25">
      <c r="A18" s="2"/>
      <c r="B18" s="16" t="s">
        <v>69</v>
      </c>
      <c r="C18" s="32">
        <f>+SUMIF('2.1 Database'!$J:$J,'2.2 P&amp;L statement'!$B18,'2.1 Database'!F:F)/1000000</f>
        <v>-2.045243514</v>
      </c>
      <c r="D18" s="32">
        <f>+SUMIF('2.1 Database'!$J:$J,'2.2 P&amp;L statement'!$B18,'2.1 Database'!G:G)/1000000</f>
        <v>-2.0440058150000002</v>
      </c>
      <c r="E18" s="32">
        <f>+SUMIF('2.1 Database'!$J:$J,'2.2 P&amp;L statement'!$B18,'2.1 Database'!H:H)/1000000</f>
        <v>-1.8883615140000001</v>
      </c>
      <c r="F18" s="25"/>
      <c r="G18" s="41">
        <f t="shared" si="0"/>
        <v>-6.0515972378227811E-4</v>
      </c>
      <c r="H18" s="41">
        <f t="shared" si="1"/>
        <v>-7.6146701666795491E-2</v>
      </c>
    </row>
    <row r="19" spans="1:8" s="16" customFormat="1" ht="12" customHeight="1" x14ac:dyDescent="0.25">
      <c r="A19" s="2"/>
      <c r="B19" s="27" t="s">
        <v>229</v>
      </c>
      <c r="C19" s="33">
        <f>+SUM(C17:C18)</f>
        <v>6.2580384820000026</v>
      </c>
      <c r="D19" s="33">
        <f>+SUM(D17:D18)</f>
        <v>2.1997505250000016</v>
      </c>
      <c r="E19" s="33">
        <f>+SUM(E17:E18)</f>
        <v>3.4021365269999992</v>
      </c>
      <c r="G19" s="42">
        <f t="shared" si="0"/>
        <v>-0.64849201050342775</v>
      </c>
      <c r="H19" s="42">
        <f t="shared" si="1"/>
        <v>0.54660107513782585</v>
      </c>
    </row>
    <row r="20" spans="1:8" s="16" customFormat="1" ht="12" customHeight="1" x14ac:dyDescent="0.25">
      <c r="A20" s="2"/>
      <c r="B20" s="16" t="s">
        <v>219</v>
      </c>
      <c r="C20" s="32">
        <f>+SUMIF('2.1 Database'!$J:$J,'2.2 P&amp;L statement'!$B20,'2.1 Database'!F:F)/1000000</f>
        <v>-2.8426923660000001</v>
      </c>
      <c r="D20" s="32">
        <f>+SUMIF('2.1 Database'!$J:$J,'2.2 P&amp;L statement'!$B20,'2.1 Database'!G:G)/1000000</f>
        <v>-2.7107469200000001</v>
      </c>
      <c r="E20" s="32">
        <f>+SUMIF('2.1 Database'!$J:$J,'2.2 P&amp;L statement'!$B20,'2.1 Database'!H:H)/1000000</f>
        <v>-2.250707829</v>
      </c>
      <c r="G20" s="41">
        <f t="shared" si="0"/>
        <v>-4.6415661285805099E-2</v>
      </c>
      <c r="H20" s="41">
        <f t="shared" si="1"/>
        <v>-0.16970934748862498</v>
      </c>
    </row>
    <row r="21" spans="1:8" s="16" customFormat="1" ht="12" customHeight="1" x14ac:dyDescent="0.25">
      <c r="A21" s="2"/>
      <c r="B21" s="16" t="s">
        <v>220</v>
      </c>
      <c r="C21" s="32">
        <f>+SUMIF('2.1 Database'!$J:$J,'2.2 P&amp;L statement'!$B21,'2.1 Database'!F:F)/1000000</f>
        <v>-2.2762999999999999E-2</v>
      </c>
      <c r="D21" s="32">
        <f>+SUMIF('2.1 Database'!$J:$J,'2.2 P&amp;L statement'!$B21,'2.1 Database'!G:G)/1000000</f>
        <v>-4.5786198000000002</v>
      </c>
      <c r="E21" s="32">
        <f>+SUMIF('2.1 Database'!$J:$J,'2.2 P&amp;L statement'!$B21,'2.1 Database'!H:H)/1000000</f>
        <v>-7.1731959999999989E-3</v>
      </c>
      <c r="G21" s="41" t="str">
        <f t="shared" si="0"/>
        <v>&gt;100.0%</v>
      </c>
      <c r="H21" s="41">
        <f t="shared" si="1"/>
        <v>-0.99843332787754069</v>
      </c>
    </row>
    <row r="22" spans="1:8" s="16" customFormat="1" ht="12" customHeight="1" x14ac:dyDescent="0.25">
      <c r="A22" s="2"/>
      <c r="B22" s="27" t="s">
        <v>230</v>
      </c>
      <c r="C22" s="33">
        <f>+SUM(C19:C21)</f>
        <v>3.3925831160000026</v>
      </c>
      <c r="D22" s="33">
        <f>+SUM(D19:D21)</f>
        <v>-5.0896161949999987</v>
      </c>
      <c r="E22" s="33">
        <f>+SUM(E19:E21)</f>
        <v>1.1442555019999991</v>
      </c>
      <c r="G22" s="42" t="str">
        <f t="shared" si="0"/>
        <v>&lt;-100.0%</v>
      </c>
      <c r="H22" s="42" t="str">
        <f t="shared" si="1"/>
        <v>&lt;-100.0%</v>
      </c>
    </row>
    <row r="23" spans="1:8" s="16" customFormat="1" ht="12" customHeight="1" x14ac:dyDescent="0.25">
      <c r="A23" s="2"/>
      <c r="B23" s="16" t="s">
        <v>221</v>
      </c>
      <c r="C23" s="32">
        <f>+SUMIF('2.1 Database'!$J:$J,'2.2 P&amp;L statement'!$B23,'2.1 Database'!F:F)/1000000</f>
        <v>-0.48846512199999997</v>
      </c>
      <c r="D23" s="32">
        <f>+SUMIF('2.1 Database'!$J:$J,'2.2 P&amp;L statement'!$B23,'2.1 Database'!G:G)/1000000</f>
        <v>-0.98419196500000017</v>
      </c>
      <c r="E23" s="32">
        <f>+SUMIF('2.1 Database'!$J:$J,'2.2 P&amp;L statement'!$B23,'2.1 Database'!H:H)/1000000</f>
        <v>-0.36496502599999997</v>
      </c>
      <c r="G23" s="41" t="str">
        <f t="shared" si="0"/>
        <v>&gt;100.0%</v>
      </c>
      <c r="H23" s="41">
        <f t="shared" si="1"/>
        <v>-0.62917292664546398</v>
      </c>
    </row>
    <row r="24" spans="1:8" s="16" customFormat="1" ht="12" customHeight="1" thickBot="1" x14ac:dyDescent="0.3">
      <c r="A24" s="2"/>
      <c r="B24" s="29" t="s">
        <v>231</v>
      </c>
      <c r="C24" s="35">
        <f>+SUM(C22:C23)</f>
        <v>2.9041179940000026</v>
      </c>
      <c r="D24" s="35">
        <f>+SUM(D22:D23)</f>
        <v>-6.0738081599999987</v>
      </c>
      <c r="E24" s="35">
        <f>+SUM(E22:E23)</f>
        <v>0.77929047599999923</v>
      </c>
      <c r="G24" s="44" t="str">
        <f t="shared" si="0"/>
        <v>&lt;-100.0%</v>
      </c>
      <c r="H24" s="44" t="str">
        <f t="shared" si="1"/>
        <v>&lt;-100.0%</v>
      </c>
    </row>
    <row r="26" spans="1:8" ht="12" customHeight="1" x14ac:dyDescent="0.25">
      <c r="B26" s="45" t="s">
        <v>236</v>
      </c>
      <c r="C26" s="46">
        <f>C9/C7</f>
        <v>0.80329281353949789</v>
      </c>
      <c r="D26" s="46">
        <f>D9/D7</f>
        <v>0.79014052477841912</v>
      </c>
      <c r="E26" s="46">
        <f>E9/E7</f>
        <v>0.78437246085651935</v>
      </c>
    </row>
    <row r="27" spans="1:8" ht="12" customHeight="1" x14ac:dyDescent="0.25">
      <c r="B27" s="45" t="s">
        <v>237</v>
      </c>
      <c r="C27" s="46">
        <f>C17/C7</f>
        <v>0.36878477758296191</v>
      </c>
      <c r="D27" s="46">
        <f>D17/D7</f>
        <v>0.16301696811306118</v>
      </c>
      <c r="E27" s="46">
        <f>E17/E7</f>
        <v>0.20104802619916018</v>
      </c>
    </row>
    <row r="28" spans="1:8" ht="12" customHeight="1" x14ac:dyDescent="0.25">
      <c r="B28" s="45" t="s">
        <v>238</v>
      </c>
      <c r="C28" s="46">
        <f>C19/C7</f>
        <v>0.2779466397506159</v>
      </c>
      <c r="D28" s="46">
        <f>D19/D7</f>
        <v>8.4499823378317393E-2</v>
      </c>
      <c r="E28" s="46">
        <f>E19/E7</f>
        <v>0.12928704033394345</v>
      </c>
    </row>
    <row r="32" spans="1:8" ht="12" customHeight="1" outlineLevel="1" x14ac:dyDescent="0.25">
      <c r="B32" s="18" t="s">
        <v>233</v>
      </c>
      <c r="C32" s="36">
        <f>+SUMIF('2.1 Database'!$J:$J,'2.2 P&amp;L statement'!$B32,'2.1 Database'!F:F)/1000000</f>
        <v>-2.9041179939999986</v>
      </c>
      <c r="D32" s="36">
        <f>+SUMIF('2.1 Database'!$J:$J,'2.2 P&amp;L statement'!$B32,'2.1 Database'!G:G)/1000000</f>
        <v>6.0738081600000005</v>
      </c>
      <c r="E32" s="36">
        <f>+SUMIF('2.1 Database'!$J:$J,'2.2 P&amp;L statement'!$B32,'2.1 Database'!H:H)/1000000</f>
        <v>-0.77929047600000001</v>
      </c>
    </row>
    <row r="33" spans="2:5" ht="12" customHeight="1" outlineLevel="1" x14ac:dyDescent="0.25">
      <c r="B33" s="18"/>
      <c r="C33" s="37">
        <f>+ROUND(C24+C32,9)</f>
        <v>0</v>
      </c>
      <c r="D33" s="37">
        <f>+D24+D32</f>
        <v>0</v>
      </c>
      <c r="E33" s="37">
        <f>+E24+E32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B12"/>
  <sheetViews>
    <sheetView workbookViewId="0"/>
  </sheetViews>
  <sheetFormatPr defaultColWidth="9.1796875" defaultRowHeight="11.5" x14ac:dyDescent="0.25"/>
  <cols>
    <col min="1" max="1" width="2" style="2" customWidth="1"/>
    <col min="2" max="16384" width="9.1796875" style="2"/>
  </cols>
  <sheetData>
    <row r="1" spans="2:2" ht="15.5" x14ac:dyDescent="0.35">
      <c r="B1" s="3"/>
    </row>
    <row r="12" spans="2:2" ht="40" x14ac:dyDescent="0.8">
      <c r="B12" s="12" t="s">
        <v>90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:J12"/>
  <sheetViews>
    <sheetView topLeftCell="B1" zoomScale="130" zoomScaleNormal="130" workbookViewId="0">
      <selection activeCell="L7" sqref="L7"/>
    </sheetView>
  </sheetViews>
  <sheetFormatPr defaultColWidth="9.1796875" defaultRowHeight="11.5" x14ac:dyDescent="0.25"/>
  <cols>
    <col min="1" max="1" width="2" style="2" customWidth="1"/>
    <col min="2" max="2" width="15.81640625" style="2" customWidth="1"/>
    <col min="3" max="16384" width="9.1796875" style="2"/>
  </cols>
  <sheetData>
    <row r="1" spans="2:10" ht="15.5" x14ac:dyDescent="0.35">
      <c r="B1" s="3" t="s">
        <v>239</v>
      </c>
    </row>
    <row r="3" spans="2:10" ht="12" thickBot="1" x14ac:dyDescent="0.3">
      <c r="B3" s="14"/>
      <c r="C3" s="15" t="str">
        <f>'2.2 P&amp;L statement'!C3</f>
        <v>FY16</v>
      </c>
      <c r="D3" s="15" t="str">
        <f>'2.2 P&amp;L statement'!D3</f>
        <v>FY17</v>
      </c>
      <c r="E3" s="15" t="str">
        <f>'2.2 P&amp;L statement'!E3</f>
        <v>FY18</v>
      </c>
    </row>
    <row r="4" spans="2:10" x14ac:dyDescent="0.25">
      <c r="B4" s="47" t="s">
        <v>213</v>
      </c>
      <c r="C4" s="48">
        <f>'2.2 P&amp;L statement'!C4</f>
        <v>14.500341000000001</v>
      </c>
      <c r="D4" s="48">
        <f>'2.2 P&amp;L statement'!D4</f>
        <v>16.148295364999999</v>
      </c>
      <c r="E4" s="48">
        <f>'2.2 P&amp;L statement'!E4</f>
        <v>15.047803019</v>
      </c>
    </row>
    <row r="5" spans="2:10" x14ac:dyDescent="0.25">
      <c r="B5" s="47" t="s">
        <v>63</v>
      </c>
      <c r="C5" s="48">
        <f>'2.2 P&amp;L statement'!C5</f>
        <v>4.7948561920000001</v>
      </c>
      <c r="D5" s="48">
        <f>'2.2 P&amp;L statement'!D5</f>
        <v>6.9602176449999993</v>
      </c>
      <c r="E5" s="48">
        <f>'2.2 P&amp;L statement'!E5</f>
        <v>6.3736175140000002</v>
      </c>
    </row>
    <row r="6" spans="2:10" x14ac:dyDescent="0.25">
      <c r="B6" s="47" t="s">
        <v>215</v>
      </c>
      <c r="C6" s="48">
        <f>'2.2 P&amp;L statement'!C6</f>
        <v>3.2200542519999997</v>
      </c>
      <c r="D6" s="48">
        <f>'2.2 P&amp;L statement'!D6</f>
        <v>2.9240919949999999</v>
      </c>
      <c r="E6" s="48">
        <f>'2.2 P&amp;L statement'!E6</f>
        <v>4.8931777299999997</v>
      </c>
    </row>
    <row r="7" spans="2:10" x14ac:dyDescent="0.25">
      <c r="B7" s="47" t="s">
        <v>236</v>
      </c>
      <c r="C7" s="49">
        <f>'2.2 P&amp;L statement'!C26</f>
        <v>0.80329281353949789</v>
      </c>
      <c r="D7" s="49">
        <f>'2.2 P&amp;L statement'!D26</f>
        <v>0.79014052477841912</v>
      </c>
      <c r="E7" s="49">
        <f>'2.2 P&amp;L statement'!E26</f>
        <v>0.78437246085651935</v>
      </c>
    </row>
    <row r="12" spans="2:10" x14ac:dyDescent="0.25">
      <c r="J12" s="2" t="s">
        <v>240</v>
      </c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E8"/>
  <sheetViews>
    <sheetView tabSelected="1" zoomScale="130" zoomScaleNormal="130" workbookViewId="0">
      <selection activeCell="H7" sqref="H7"/>
    </sheetView>
  </sheetViews>
  <sheetFormatPr defaultColWidth="9.1796875" defaultRowHeight="11.5" x14ac:dyDescent="0.25"/>
  <cols>
    <col min="1" max="1" width="2" style="2" customWidth="1"/>
    <col min="2" max="2" width="18.7265625" style="2" bestFit="1" customWidth="1"/>
    <col min="3" max="16384" width="9.1796875" style="2"/>
  </cols>
  <sheetData>
    <row r="1" spans="2:5" ht="15.5" x14ac:dyDescent="0.35">
      <c r="B1" s="3" t="s">
        <v>93</v>
      </c>
    </row>
    <row r="3" spans="2:5" ht="12" thickBot="1" x14ac:dyDescent="0.3">
      <c r="B3" s="14"/>
      <c r="C3" s="15" t="str">
        <f>'2.2 P&amp;L statement'!C3</f>
        <v>FY16</v>
      </c>
      <c r="D3" s="15" t="str">
        <f>'2.2 P&amp;L statement'!D3</f>
        <v>FY17</v>
      </c>
      <c r="E3" s="15" t="str">
        <f>'2.2 P&amp;L statement'!E3</f>
        <v>FY18</v>
      </c>
    </row>
    <row r="4" spans="2:5" x14ac:dyDescent="0.25">
      <c r="B4" s="48" t="str">
        <f>'2.2 P&amp;L statement'!B4</f>
        <v>Net Sales</v>
      </c>
      <c r="C4" s="48">
        <f>'2.2 P&amp;L statement'!C4</f>
        <v>14.500341000000001</v>
      </c>
      <c r="D4" s="48">
        <f>'2.2 P&amp;L statement'!D4</f>
        <v>16.148295364999999</v>
      </c>
      <c r="E4" s="48">
        <f>'2.2 P&amp;L statement'!E4</f>
        <v>15.047803019</v>
      </c>
    </row>
    <row r="5" spans="2:5" x14ac:dyDescent="0.25">
      <c r="B5" s="48" t="str">
        <f>'2.2 P&amp;L statement'!B5</f>
        <v>Other revenues</v>
      </c>
      <c r="C5" s="48">
        <f>'2.2 P&amp;L statement'!C5</f>
        <v>4.7948561920000001</v>
      </c>
      <c r="D5" s="48">
        <f>'2.2 P&amp;L statement'!D5</f>
        <v>6.9602176449999993</v>
      </c>
      <c r="E5" s="48">
        <f>'2.2 P&amp;L statement'!E5</f>
        <v>6.3736175140000002</v>
      </c>
    </row>
    <row r="6" spans="2:5" x14ac:dyDescent="0.25">
      <c r="B6" s="48" t="str">
        <f>'2.2 P&amp;L statement'!B6</f>
        <v>Recharges</v>
      </c>
      <c r="C6" s="48">
        <f>'2.2 P&amp;L statement'!C6</f>
        <v>3.2200542519999997</v>
      </c>
      <c r="D6" s="48">
        <f>'2.2 P&amp;L statement'!D6</f>
        <v>2.9240919949999999</v>
      </c>
      <c r="E6" s="48">
        <f>'2.2 P&amp;L statement'!E6</f>
        <v>4.8931777299999997</v>
      </c>
    </row>
    <row r="7" spans="2:5" x14ac:dyDescent="0.25">
      <c r="B7" s="47"/>
      <c r="C7" s="49"/>
      <c r="D7" s="49"/>
      <c r="E7" s="49"/>
    </row>
    <row r="8" spans="2:5" x14ac:dyDescent="0.25">
      <c r="B8" s="47"/>
      <c r="C8" s="47"/>
      <c r="D8" s="47"/>
      <c r="E8" s="47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E7"/>
  <sheetViews>
    <sheetView workbookViewId="0">
      <selection activeCell="C3" sqref="C3:E3"/>
    </sheetView>
  </sheetViews>
  <sheetFormatPr defaultColWidth="9.1796875" defaultRowHeight="11.5" x14ac:dyDescent="0.25"/>
  <cols>
    <col min="1" max="1" width="2" style="2" customWidth="1"/>
    <col min="2" max="2" width="20.26953125" style="2" bestFit="1" customWidth="1"/>
    <col min="3" max="16384" width="9.1796875" style="2"/>
  </cols>
  <sheetData>
    <row r="1" spans="2:5" ht="15.5" x14ac:dyDescent="0.35">
      <c r="B1" s="3" t="s">
        <v>241</v>
      </c>
    </row>
    <row r="3" spans="2:5" ht="12" thickBot="1" x14ac:dyDescent="0.3">
      <c r="B3" s="14"/>
      <c r="C3" s="15" t="str">
        <f>'2.2 P&amp;L statement'!C3</f>
        <v>FY16</v>
      </c>
      <c r="D3" s="15" t="str">
        <f>'2.2 P&amp;L statement'!D3</f>
        <v>FY17</v>
      </c>
      <c r="E3" s="15" t="str">
        <f>'2.2 P&amp;L statement'!E3</f>
        <v>FY18</v>
      </c>
    </row>
    <row r="4" spans="2:5" x14ac:dyDescent="0.25">
      <c r="B4" s="47" t="s">
        <v>242</v>
      </c>
      <c r="C4" s="48">
        <v>22.515251444</v>
      </c>
      <c r="D4" s="48">
        <v>26.032605005000001</v>
      </c>
      <c r="E4" s="48">
        <v>26.314598263000001</v>
      </c>
    </row>
    <row r="5" spans="2:5" x14ac:dyDescent="0.25">
      <c r="B5" s="2" t="s">
        <v>236</v>
      </c>
      <c r="C5" s="50">
        <v>0.80329281353949789</v>
      </c>
      <c r="D5" s="50">
        <v>0.79014052477841912</v>
      </c>
      <c r="E5" s="50">
        <v>0.78437246085651935</v>
      </c>
    </row>
    <row r="6" spans="2:5" x14ac:dyDescent="0.25">
      <c r="C6" s="22"/>
      <c r="D6" s="22"/>
      <c r="E6" s="22"/>
    </row>
    <row r="7" spans="2:5" x14ac:dyDescent="0.25">
      <c r="C7" s="22"/>
      <c r="D7" s="22"/>
      <c r="E7" s="2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J1048575"/>
  <sheetViews>
    <sheetView workbookViewId="0">
      <selection activeCell="D37" sqref="D37"/>
    </sheetView>
  </sheetViews>
  <sheetFormatPr defaultColWidth="9.1796875" defaultRowHeight="11.5" x14ac:dyDescent="0.25"/>
  <cols>
    <col min="1" max="1" width="2" style="2" customWidth="1"/>
    <col min="2" max="2" width="20.453125" style="2" bestFit="1" customWidth="1"/>
    <col min="3" max="3" width="11.26953125" style="48" customWidth="1"/>
    <col min="4" max="4" width="11.453125" style="2" customWidth="1"/>
    <col min="5" max="5" width="9.26953125" style="2" customWidth="1"/>
    <col min="6" max="11" width="11.453125" style="2" customWidth="1"/>
    <col min="12" max="16384" width="9.1796875" style="2"/>
  </cols>
  <sheetData>
    <row r="1" spans="1:36" ht="15.5" x14ac:dyDescent="0.35">
      <c r="B1" s="3" t="s">
        <v>94</v>
      </c>
    </row>
    <row r="2" spans="1:36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</row>
    <row r="3" spans="1:36" x14ac:dyDescent="0.2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</row>
    <row r="4" spans="1:36" x14ac:dyDescent="0.25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</row>
    <row r="5" spans="1:36" x14ac:dyDescent="0.25">
      <c r="A5" s="57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</row>
    <row r="6" spans="1:36" x14ac:dyDescent="0.25">
      <c r="A6" s="57"/>
      <c r="B6" s="57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</row>
    <row r="7" spans="1:36" x14ac:dyDescent="0.25">
      <c r="A7" s="57"/>
      <c r="B7" s="57"/>
      <c r="C7" s="57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</row>
    <row r="8" spans="1:36" x14ac:dyDescent="0.25">
      <c r="A8" s="57"/>
      <c r="B8" s="57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</row>
    <row r="9" spans="1:36" x14ac:dyDescent="0.25">
      <c r="A9" s="57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</row>
    <row r="10" spans="1:36" x14ac:dyDescent="0.25">
      <c r="A10" s="57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</row>
    <row r="11" spans="1:36" x14ac:dyDescent="0.25">
      <c r="A11" s="57"/>
      <c r="B11" s="57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</row>
    <row r="12" spans="1:36" x14ac:dyDescent="0.25">
      <c r="A12" s="57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</row>
    <row r="13" spans="1:36" x14ac:dyDescent="0.25">
      <c r="A13" s="57"/>
      <c r="B13" s="57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</row>
    <row r="14" spans="1:36" x14ac:dyDescent="0.25">
      <c r="A14" s="57"/>
      <c r="B14" s="57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</row>
    <row r="15" spans="1:36" x14ac:dyDescent="0.25">
      <c r="A15" s="57"/>
      <c r="B15" s="57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</row>
    <row r="16" spans="1:36" x14ac:dyDescent="0.25">
      <c r="A16" s="57"/>
      <c r="B16" s="57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</row>
    <row r="17" spans="1:36" x14ac:dyDescent="0.25">
      <c r="A17" s="57"/>
      <c r="B17" s="57"/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</row>
    <row r="18" spans="1:36" x14ac:dyDescent="0.25">
      <c r="A18" s="57"/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</row>
    <row r="19" spans="1:36" x14ac:dyDescent="0.25">
      <c r="A19" s="57"/>
      <c r="B19" s="57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</row>
    <row r="20" spans="1:36" x14ac:dyDescent="0.25">
      <c r="A20" s="57"/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</row>
    <row r="21" spans="1:36" x14ac:dyDescent="0.25">
      <c r="A21" s="57"/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</row>
    <row r="22" spans="1:36" x14ac:dyDescent="0.25">
      <c r="A22" s="57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</row>
    <row r="23" spans="1:36" x14ac:dyDescent="0.25">
      <c r="A23" s="57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</row>
    <row r="24" spans="1:36" x14ac:dyDescent="0.25">
      <c r="A24" s="57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</row>
    <row r="25" spans="1:36" x14ac:dyDescent="0.25">
      <c r="A25" s="57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</row>
    <row r="26" spans="1:36" x14ac:dyDescent="0.25">
      <c r="A26" s="57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</row>
    <row r="27" spans="1:36" x14ac:dyDescent="0.25">
      <c r="A27" s="57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</row>
    <row r="28" spans="1:36" x14ac:dyDescent="0.25">
      <c r="A28" s="57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</row>
    <row r="29" spans="1:36" x14ac:dyDescent="0.25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</row>
    <row r="30" spans="1:36" x14ac:dyDescent="0.25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</row>
    <row r="31" spans="1:36" x14ac:dyDescent="0.25">
      <c r="A31" s="57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</row>
    <row r="32" spans="1:36" x14ac:dyDescent="0.25">
      <c r="A32" s="57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</row>
    <row r="33" spans="1:36" x14ac:dyDescent="0.25">
      <c r="A33" s="57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</row>
    <row r="34" spans="1:36" x14ac:dyDescent="0.25">
      <c r="A34" s="57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</row>
    <row r="35" spans="1:36" x14ac:dyDescent="0.25">
      <c r="A35" s="57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</row>
    <row r="36" spans="1:36" x14ac:dyDescent="0.25">
      <c r="A36" s="57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</row>
    <row r="37" spans="1:36" x14ac:dyDescent="0.25">
      <c r="A37" s="57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</row>
    <row r="38" spans="1:36" x14ac:dyDescent="0.25">
      <c r="A38" s="57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</row>
    <row r="39" spans="1:36" x14ac:dyDescent="0.25">
      <c r="A39" s="57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</row>
    <row r="40" spans="1:36" x14ac:dyDescent="0.25">
      <c r="A40" s="57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</row>
    <row r="41" spans="1:36" x14ac:dyDescent="0.25">
      <c r="A41" s="57"/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</row>
    <row r="42" spans="1:36" x14ac:dyDescent="0.25">
      <c r="A42" s="57"/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</row>
    <row r="43" spans="1:36" x14ac:dyDescent="0.25">
      <c r="A43" s="57"/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</row>
    <row r="44" spans="1:36" x14ac:dyDescent="0.25">
      <c r="A44" s="57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</row>
    <row r="45" spans="1:36" x14ac:dyDescent="0.25">
      <c r="A45" s="57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</row>
    <row r="46" spans="1:36" x14ac:dyDescent="0.25">
      <c r="A46" s="57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</row>
    <row r="47" spans="1:36" x14ac:dyDescent="0.25">
      <c r="A47" s="57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</row>
    <row r="48" spans="1:36" x14ac:dyDescent="0.25">
      <c r="A48" s="57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</row>
    <row r="49" spans="1:36" x14ac:dyDescent="0.25">
      <c r="A49" s="57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</row>
    <row r="50" spans="1:36" x14ac:dyDescent="0.25">
      <c r="A50" s="57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</row>
    <row r="51" spans="1:36" x14ac:dyDescent="0.25">
      <c r="A51" s="57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</row>
    <row r="52" spans="1:36" x14ac:dyDescent="0.25">
      <c r="A52" s="57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</row>
    <row r="53" spans="1:36" x14ac:dyDescent="0.25">
      <c r="A53" s="57"/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</row>
    <row r="54" spans="1:36" x14ac:dyDescent="0.25">
      <c r="A54" s="57"/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</row>
    <row r="55" spans="1:36" x14ac:dyDescent="0.25">
      <c r="A55" s="57"/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</row>
    <row r="56" spans="1:36" x14ac:dyDescent="0.25">
      <c r="A56" s="57"/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</row>
    <row r="57" spans="1:36" x14ac:dyDescent="0.25">
      <c r="A57" s="57"/>
      <c r="B57" s="57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</row>
    <row r="58" spans="1:36" x14ac:dyDescent="0.25">
      <c r="A58" s="57"/>
      <c r="B58" s="57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</row>
    <row r="59" spans="1:36" x14ac:dyDescent="0.25">
      <c r="A59" s="57"/>
      <c r="B59" s="57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</row>
    <row r="60" spans="1:36" x14ac:dyDescent="0.25">
      <c r="A60" s="57"/>
      <c r="B60" s="57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</row>
    <row r="61" spans="1:36" x14ac:dyDescent="0.25">
      <c r="A61" s="57"/>
      <c r="B61" s="57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</row>
    <row r="62" spans="1:36" x14ac:dyDescent="0.25">
      <c r="A62" s="57"/>
      <c r="B62" s="57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</row>
    <row r="63" spans="1:36" x14ac:dyDescent="0.25">
      <c r="A63" s="57"/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</row>
    <row r="64" spans="1:36" x14ac:dyDescent="0.25">
      <c r="A64" s="57"/>
      <c r="B64" s="57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</row>
    <row r="65" spans="1:36" x14ac:dyDescent="0.25">
      <c r="A65" s="57"/>
      <c r="B65" s="57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</row>
    <row r="66" spans="1:36" x14ac:dyDescent="0.25">
      <c r="A66" s="57"/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</row>
    <row r="67" spans="1:36" x14ac:dyDescent="0.25">
      <c r="A67" s="57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</row>
    <row r="68" spans="1:36" x14ac:dyDescent="0.25">
      <c r="A68" s="57"/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</row>
    <row r="69" spans="1:36" x14ac:dyDescent="0.25">
      <c r="A69" s="57"/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</row>
    <row r="70" spans="1:36" x14ac:dyDescent="0.25">
      <c r="A70" s="57"/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</row>
    <row r="71" spans="1:36" x14ac:dyDescent="0.25">
      <c r="A71" s="57"/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</row>
    <row r="72" spans="1:36" x14ac:dyDescent="0.25">
      <c r="A72" s="57"/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</row>
    <row r="73" spans="1:36" x14ac:dyDescent="0.25">
      <c r="A73" s="57"/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</row>
    <row r="74" spans="1:36" x14ac:dyDescent="0.25">
      <c r="A74" s="57"/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</row>
    <row r="75" spans="1:36" x14ac:dyDescent="0.25">
      <c r="A75" s="57"/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</row>
    <row r="76" spans="1:36" x14ac:dyDescent="0.25">
      <c r="A76" s="57"/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</row>
    <row r="77" spans="1:36" x14ac:dyDescent="0.25">
      <c r="A77" s="57"/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</row>
    <row r="78" spans="1:36" x14ac:dyDescent="0.25">
      <c r="A78" s="57"/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</row>
    <row r="79" spans="1:36" x14ac:dyDescent="0.25">
      <c r="A79" s="57"/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</row>
    <row r="80" spans="1:36" x14ac:dyDescent="0.25">
      <c r="A80" s="57"/>
      <c r="B80" s="57"/>
      <c r="C80" s="57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</row>
    <row r="81" spans="1:36" x14ac:dyDescent="0.25">
      <c r="A81" s="57"/>
      <c r="B81" s="57"/>
      <c r="C81" s="57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</row>
    <row r="82" spans="1:36" x14ac:dyDescent="0.25">
      <c r="A82" s="57"/>
      <c r="B82" s="57"/>
      <c r="C82" s="57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</row>
    <row r="83" spans="1:36" x14ac:dyDescent="0.25">
      <c r="A83" s="57"/>
      <c r="B83" s="57"/>
      <c r="C83" s="57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</row>
    <row r="84" spans="1:36" x14ac:dyDescent="0.25">
      <c r="A84" s="57"/>
      <c r="B84" s="57"/>
      <c r="C84" s="57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</row>
    <row r="85" spans="1:36" x14ac:dyDescent="0.25">
      <c r="A85" s="57"/>
      <c r="B85" s="57"/>
      <c r="C85" s="57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</row>
    <row r="86" spans="1:36" x14ac:dyDescent="0.25">
      <c r="A86" s="57"/>
      <c r="B86" s="57"/>
      <c r="C86" s="57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</row>
    <row r="87" spans="1:36" x14ac:dyDescent="0.25">
      <c r="A87" s="57"/>
      <c r="B87" s="57"/>
      <c r="C87" s="57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</row>
    <row r="88" spans="1:36" x14ac:dyDescent="0.25">
      <c r="A88" s="57"/>
      <c r="B88" s="57"/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</row>
    <row r="89" spans="1:36" x14ac:dyDescent="0.25">
      <c r="A89" s="57"/>
      <c r="B89" s="57"/>
      <c r="C89" s="57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</row>
    <row r="90" spans="1:36" x14ac:dyDescent="0.25">
      <c r="A90" s="57"/>
      <c r="B90" s="57"/>
      <c r="C90" s="57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</row>
    <row r="91" spans="1:36" x14ac:dyDescent="0.25">
      <c r="A91" s="57"/>
      <c r="B91" s="57"/>
      <c r="C91" s="57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</row>
    <row r="92" spans="1:36" x14ac:dyDescent="0.25">
      <c r="A92" s="57"/>
      <c r="B92" s="57"/>
      <c r="C92" s="57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</row>
    <row r="93" spans="1:36" x14ac:dyDescent="0.25">
      <c r="A93" s="57"/>
      <c r="B93" s="57"/>
      <c r="C93" s="57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</row>
    <row r="94" spans="1:36" x14ac:dyDescent="0.25">
      <c r="A94" s="57"/>
      <c r="B94" s="57"/>
      <c r="C94" s="57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</row>
    <row r="95" spans="1:36" x14ac:dyDescent="0.25">
      <c r="A95" s="57"/>
      <c r="B95" s="57"/>
      <c r="C95" s="57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</row>
    <row r="96" spans="1:36" x14ac:dyDescent="0.25">
      <c r="A96" s="57"/>
      <c r="B96" s="57"/>
      <c r="C96" s="57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</row>
    <row r="97" spans="1:36" x14ac:dyDescent="0.25">
      <c r="A97" s="57"/>
      <c r="B97" s="57"/>
      <c r="C97" s="57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</row>
    <row r="98" spans="1:36" x14ac:dyDescent="0.25">
      <c r="A98" s="57"/>
      <c r="B98" s="57"/>
      <c r="C98" s="57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</row>
    <row r="99" spans="1:36" x14ac:dyDescent="0.25">
      <c r="A99" s="57"/>
      <c r="B99" s="57"/>
      <c r="C99" s="57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</row>
    <row r="100" spans="1:36" x14ac:dyDescent="0.25">
      <c r="A100" s="57"/>
      <c r="B100" s="57"/>
      <c r="C100" s="57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</row>
    <row r="101" spans="1:36" x14ac:dyDescent="0.25">
      <c r="A101" s="57"/>
      <c r="B101" s="57"/>
      <c r="C101" s="57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</row>
    <row r="102" spans="1:36" x14ac:dyDescent="0.25">
      <c r="A102" s="57"/>
      <c r="B102" s="57"/>
      <c r="C102" s="57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</row>
    <row r="103" spans="1:36" x14ac:dyDescent="0.25">
      <c r="A103" s="57"/>
      <c r="B103" s="57"/>
      <c r="C103" s="57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</row>
    <row r="104" spans="1:36" x14ac:dyDescent="0.25">
      <c r="A104" s="57"/>
      <c r="B104" s="57"/>
      <c r="C104" s="57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</row>
    <row r="105" spans="1:36" x14ac:dyDescent="0.25">
      <c r="A105" s="57"/>
      <c r="B105" s="57"/>
      <c r="C105" s="57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57"/>
      <c r="AH105" s="57"/>
      <c r="AI105" s="57"/>
      <c r="AJ105" s="57"/>
    </row>
    <row r="106" spans="1:36" x14ac:dyDescent="0.25">
      <c r="A106" s="57"/>
      <c r="B106" s="57"/>
      <c r="C106" s="57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</row>
    <row r="107" spans="1:36" x14ac:dyDescent="0.25">
      <c r="A107" s="57"/>
      <c r="B107" s="57"/>
      <c r="C107" s="57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</row>
    <row r="108" spans="1:36" x14ac:dyDescent="0.25">
      <c r="A108" s="57"/>
      <c r="B108" s="57"/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G108" s="57"/>
      <c r="AH108" s="57"/>
      <c r="AI108" s="57"/>
      <c r="AJ108" s="57"/>
    </row>
    <row r="109" spans="1:36" x14ac:dyDescent="0.25">
      <c r="A109" s="57"/>
      <c r="B109" s="57"/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AG109" s="57"/>
      <c r="AH109" s="57"/>
      <c r="AI109" s="57"/>
      <c r="AJ109" s="57"/>
    </row>
    <row r="110" spans="1:36" x14ac:dyDescent="0.25">
      <c r="A110" s="57"/>
      <c r="B110" s="57"/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AG110" s="57"/>
      <c r="AH110" s="57"/>
      <c r="AI110" s="57"/>
      <c r="AJ110" s="57"/>
    </row>
    <row r="111" spans="1:36" x14ac:dyDescent="0.25">
      <c r="A111" s="57"/>
      <c r="B111" s="57"/>
      <c r="C111" s="57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</row>
    <row r="112" spans="1:36" x14ac:dyDescent="0.25">
      <c r="A112" s="57"/>
      <c r="B112" s="57"/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</row>
    <row r="113" spans="1:36" x14ac:dyDescent="0.25">
      <c r="A113" s="57"/>
      <c r="B113" s="57"/>
      <c r="C113" s="57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</row>
    <row r="114" spans="1:36" x14ac:dyDescent="0.25">
      <c r="A114" s="57"/>
      <c r="B114" s="57"/>
      <c r="C114" s="57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</row>
    <row r="115" spans="1:36" x14ac:dyDescent="0.25">
      <c r="A115" s="57"/>
      <c r="B115" s="57"/>
      <c r="C115" s="57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</row>
    <row r="116" spans="1:36" x14ac:dyDescent="0.25">
      <c r="A116" s="57"/>
      <c r="B116" s="57"/>
      <c r="C116" s="57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</row>
    <row r="117" spans="1:36" x14ac:dyDescent="0.25">
      <c r="A117" s="57"/>
      <c r="B117" s="57"/>
      <c r="C117" s="57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</row>
    <row r="118" spans="1:36" x14ac:dyDescent="0.25">
      <c r="A118" s="57"/>
      <c r="B118" s="57"/>
      <c r="C118" s="57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</row>
    <row r="119" spans="1:36" x14ac:dyDescent="0.25">
      <c r="A119" s="57"/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</row>
    <row r="120" spans="1:36" x14ac:dyDescent="0.25">
      <c r="A120" s="57"/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</row>
    <row r="121" spans="1:36" x14ac:dyDescent="0.25">
      <c r="A121" s="57"/>
      <c r="B121" s="57"/>
      <c r="C121" s="57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</row>
    <row r="122" spans="1:36" x14ac:dyDescent="0.25">
      <c r="A122" s="57"/>
      <c r="B122" s="57"/>
      <c r="C122" s="57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</row>
    <row r="123" spans="1:36" x14ac:dyDescent="0.25">
      <c r="A123" s="57"/>
      <c r="B123" s="57"/>
      <c r="C123" s="57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</row>
    <row r="124" spans="1:36" x14ac:dyDescent="0.25">
      <c r="A124" s="57"/>
      <c r="B124" s="57"/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</row>
    <row r="125" spans="1:36" x14ac:dyDescent="0.25">
      <c r="A125" s="57"/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</row>
    <row r="126" spans="1:36" x14ac:dyDescent="0.25">
      <c r="A126" s="57"/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AG126" s="57"/>
      <c r="AH126" s="57"/>
      <c r="AI126" s="57"/>
      <c r="AJ126" s="57"/>
    </row>
    <row r="127" spans="1:36" x14ac:dyDescent="0.25">
      <c r="A127" s="57"/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AG127" s="57"/>
      <c r="AH127" s="57"/>
      <c r="AI127" s="57"/>
      <c r="AJ127" s="57"/>
    </row>
    <row r="128" spans="1:36" x14ac:dyDescent="0.25">
      <c r="A128" s="57"/>
      <c r="B128" s="57"/>
      <c r="C128" s="57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AG128" s="57"/>
      <c r="AH128" s="57"/>
      <c r="AI128" s="57"/>
      <c r="AJ128" s="57"/>
    </row>
    <row r="129" spans="1:36" x14ac:dyDescent="0.25">
      <c r="A129" s="57"/>
      <c r="B129" s="57"/>
      <c r="C129" s="57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7"/>
      <c r="AC129" s="57"/>
      <c r="AD129" s="57"/>
      <c r="AE129" s="57"/>
      <c r="AF129" s="57"/>
      <c r="AG129" s="57"/>
      <c r="AH129" s="57"/>
      <c r="AI129" s="57"/>
      <c r="AJ129" s="57"/>
    </row>
    <row r="130" spans="1:36" x14ac:dyDescent="0.25">
      <c r="A130" s="57"/>
      <c r="B130" s="57"/>
      <c r="C130" s="57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  <c r="AB130" s="57"/>
      <c r="AC130" s="57"/>
      <c r="AD130" s="57"/>
      <c r="AE130" s="57"/>
      <c r="AF130" s="57"/>
      <c r="AG130" s="57"/>
      <c r="AH130" s="57"/>
      <c r="AI130" s="57"/>
      <c r="AJ130" s="57"/>
    </row>
    <row r="131" spans="1:36" x14ac:dyDescent="0.25">
      <c r="A131" s="57"/>
      <c r="B131" s="57"/>
      <c r="C131" s="57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57"/>
      <c r="AH131" s="57"/>
      <c r="AI131" s="57"/>
      <c r="AJ131" s="57"/>
    </row>
    <row r="132" spans="1:36" x14ac:dyDescent="0.25">
      <c r="A132" s="57"/>
      <c r="B132" s="57"/>
      <c r="C132" s="57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  <c r="AB132" s="57"/>
      <c r="AC132" s="57"/>
      <c r="AD132" s="57"/>
      <c r="AE132" s="57"/>
      <c r="AF132" s="57"/>
      <c r="AG132" s="57"/>
      <c r="AH132" s="57"/>
      <c r="AI132" s="57"/>
      <c r="AJ132" s="57"/>
    </row>
    <row r="133" spans="1:36" x14ac:dyDescent="0.25">
      <c r="A133" s="57"/>
      <c r="B133" s="57"/>
      <c r="C133" s="57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7"/>
      <c r="AC133" s="57"/>
      <c r="AD133" s="57"/>
      <c r="AE133" s="57"/>
      <c r="AF133" s="57"/>
      <c r="AG133" s="57"/>
      <c r="AH133" s="57"/>
      <c r="AI133" s="57"/>
      <c r="AJ133" s="57"/>
    </row>
    <row r="134" spans="1:36" x14ac:dyDescent="0.25">
      <c r="A134" s="57"/>
      <c r="B134" s="57"/>
      <c r="C134" s="57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7"/>
      <c r="AC134" s="57"/>
      <c r="AD134" s="57"/>
      <c r="AE134" s="57"/>
      <c r="AF134" s="57"/>
      <c r="AG134" s="57"/>
      <c r="AH134" s="57"/>
      <c r="AI134" s="57"/>
      <c r="AJ134" s="57"/>
    </row>
    <row r="135" spans="1:36" x14ac:dyDescent="0.25">
      <c r="A135" s="57"/>
      <c r="B135" s="57"/>
      <c r="C135" s="57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  <c r="AB135" s="57"/>
      <c r="AC135" s="57"/>
      <c r="AD135" s="57"/>
      <c r="AE135" s="57"/>
      <c r="AF135" s="57"/>
      <c r="AG135" s="57"/>
      <c r="AH135" s="57"/>
      <c r="AI135" s="57"/>
      <c r="AJ135" s="57"/>
    </row>
    <row r="136" spans="1:36" x14ac:dyDescent="0.25">
      <c r="A136" s="57"/>
      <c r="B136" s="57"/>
      <c r="C136" s="57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  <c r="AB136" s="57"/>
      <c r="AC136" s="57"/>
      <c r="AD136" s="57"/>
      <c r="AE136" s="57"/>
      <c r="AF136" s="57"/>
      <c r="AG136" s="57"/>
      <c r="AH136" s="57"/>
      <c r="AI136" s="57"/>
      <c r="AJ136" s="57"/>
    </row>
    <row r="137" spans="1:36" x14ac:dyDescent="0.25">
      <c r="A137" s="57"/>
      <c r="B137" s="57"/>
      <c r="C137" s="57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7"/>
      <c r="AC137" s="57"/>
      <c r="AD137" s="57"/>
      <c r="AE137" s="57"/>
      <c r="AF137" s="57"/>
      <c r="AG137" s="57"/>
      <c r="AH137" s="57"/>
      <c r="AI137" s="57"/>
      <c r="AJ137" s="57"/>
    </row>
    <row r="138" spans="1:36" x14ac:dyDescent="0.25">
      <c r="A138" s="57"/>
      <c r="B138" s="57"/>
      <c r="C138" s="57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  <c r="AB138" s="57"/>
      <c r="AC138" s="57"/>
      <c r="AD138" s="57"/>
      <c r="AE138" s="57"/>
      <c r="AF138" s="57"/>
      <c r="AG138" s="57"/>
      <c r="AH138" s="57"/>
      <c r="AI138" s="57"/>
      <c r="AJ138" s="57"/>
    </row>
    <row r="139" spans="1:36" x14ac:dyDescent="0.25">
      <c r="A139" s="57"/>
      <c r="B139" s="57"/>
      <c r="C139" s="57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  <c r="AB139" s="57"/>
      <c r="AC139" s="57"/>
      <c r="AD139" s="57"/>
      <c r="AE139" s="57"/>
      <c r="AF139" s="57"/>
      <c r="AG139" s="57"/>
      <c r="AH139" s="57"/>
      <c r="AI139" s="57"/>
      <c r="AJ139" s="57"/>
    </row>
    <row r="140" spans="1:36" x14ac:dyDescent="0.25">
      <c r="A140" s="57"/>
      <c r="B140" s="57"/>
      <c r="C140" s="57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</row>
    <row r="141" spans="1:36" x14ac:dyDescent="0.25">
      <c r="A141" s="57"/>
      <c r="B141" s="57"/>
      <c r="C141" s="57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</row>
    <row r="142" spans="1:36" x14ac:dyDescent="0.25">
      <c r="A142" s="57"/>
      <c r="B142" s="57"/>
      <c r="C142" s="57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</row>
    <row r="143" spans="1:36" x14ac:dyDescent="0.25">
      <c r="A143" s="57"/>
      <c r="B143" s="57"/>
      <c r="C143" s="57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</row>
    <row r="144" spans="1:36" x14ac:dyDescent="0.25">
      <c r="A144" s="57"/>
      <c r="B144" s="57"/>
      <c r="C144" s="57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</row>
    <row r="145" spans="1:36" x14ac:dyDescent="0.25">
      <c r="A145" s="57"/>
      <c r="B145" s="57"/>
      <c r="C145" s="57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</row>
    <row r="146" spans="1:36" x14ac:dyDescent="0.25">
      <c r="A146" s="57"/>
      <c r="B146" s="57"/>
      <c r="C146" s="57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</row>
    <row r="147" spans="1:36" x14ac:dyDescent="0.25">
      <c r="A147" s="57"/>
      <c r="B147" s="57"/>
      <c r="C147" s="57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</row>
    <row r="148" spans="1:36" x14ac:dyDescent="0.25">
      <c r="A148" s="57"/>
      <c r="B148" s="57"/>
      <c r="C148" s="57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</row>
    <row r="149" spans="1:36" x14ac:dyDescent="0.25">
      <c r="A149" s="57"/>
      <c r="B149" s="57"/>
      <c r="C149" s="57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</row>
    <row r="150" spans="1:36" x14ac:dyDescent="0.25">
      <c r="A150" s="57"/>
      <c r="B150" s="57"/>
      <c r="C150" s="57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</row>
    <row r="151" spans="1:36" x14ac:dyDescent="0.25">
      <c r="A151" s="57"/>
      <c r="B151" s="57"/>
      <c r="C151" s="57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</row>
    <row r="152" spans="1:36" x14ac:dyDescent="0.25">
      <c r="A152" s="57"/>
      <c r="B152" s="57"/>
      <c r="C152" s="57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</row>
    <row r="153" spans="1:36" x14ac:dyDescent="0.25">
      <c r="A153" s="57"/>
      <c r="B153" s="57"/>
      <c r="C153" s="57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</row>
    <row r="154" spans="1:36" x14ac:dyDescent="0.25">
      <c r="A154" s="57"/>
      <c r="B154" s="57"/>
      <c r="C154" s="57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</row>
    <row r="155" spans="1:36" x14ac:dyDescent="0.25">
      <c r="A155" s="57"/>
      <c r="B155" s="57"/>
      <c r="C155" s="57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</row>
    <row r="156" spans="1:36" x14ac:dyDescent="0.25">
      <c r="A156" s="57"/>
      <c r="B156" s="57"/>
      <c r="C156" s="57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</row>
    <row r="157" spans="1:36" x14ac:dyDescent="0.25">
      <c r="A157" s="57"/>
      <c r="B157" s="57"/>
      <c r="C157" s="57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</row>
    <row r="158" spans="1:36" x14ac:dyDescent="0.25">
      <c r="A158" s="57"/>
      <c r="B158" s="57"/>
      <c r="C158" s="57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</row>
    <row r="159" spans="1:36" x14ac:dyDescent="0.25">
      <c r="A159" s="57"/>
      <c r="B159" s="57"/>
      <c r="C159" s="57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</row>
    <row r="160" spans="1:36" x14ac:dyDescent="0.25">
      <c r="A160" s="57"/>
      <c r="B160" s="57"/>
      <c r="C160" s="57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</row>
    <row r="161" spans="1:36" x14ac:dyDescent="0.25">
      <c r="A161" s="57"/>
      <c r="B161" s="57"/>
      <c r="C161" s="57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</row>
    <row r="162" spans="1:36" x14ac:dyDescent="0.25">
      <c r="A162" s="57"/>
      <c r="B162" s="57"/>
      <c r="C162" s="57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</row>
    <row r="163" spans="1:36" x14ac:dyDescent="0.25">
      <c r="A163" s="57"/>
      <c r="B163" s="57"/>
      <c r="C163" s="57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</row>
    <row r="164" spans="1:36" x14ac:dyDescent="0.25">
      <c r="A164" s="57"/>
      <c r="B164" s="57"/>
      <c r="C164" s="57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</row>
    <row r="165" spans="1:36" x14ac:dyDescent="0.25">
      <c r="A165" s="57"/>
      <c r="B165" s="57"/>
      <c r="C165" s="57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</row>
    <row r="166" spans="1:36" x14ac:dyDescent="0.25">
      <c r="A166" s="57"/>
      <c r="B166" s="57"/>
      <c r="C166" s="57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</row>
    <row r="167" spans="1:36" x14ac:dyDescent="0.25">
      <c r="A167" s="57"/>
      <c r="B167" s="57"/>
      <c r="C167" s="57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</row>
    <row r="168" spans="1:36" x14ac:dyDescent="0.25">
      <c r="A168" s="57"/>
      <c r="B168" s="57"/>
      <c r="C168" s="57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</row>
    <row r="169" spans="1:36" x14ac:dyDescent="0.25">
      <c r="A169" s="57"/>
      <c r="B169" s="57"/>
      <c r="C169" s="57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</row>
    <row r="170" spans="1:36" x14ac:dyDescent="0.25">
      <c r="A170" s="57"/>
      <c r="B170" s="57"/>
      <c r="C170" s="57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</row>
    <row r="171" spans="1:36" x14ac:dyDescent="0.25">
      <c r="A171" s="57"/>
      <c r="B171" s="57"/>
      <c r="C171" s="57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</row>
    <row r="172" spans="1:36" x14ac:dyDescent="0.25">
      <c r="A172" s="57"/>
      <c r="B172" s="57"/>
      <c r="C172" s="57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</row>
    <row r="173" spans="1:36" x14ac:dyDescent="0.25">
      <c r="A173" s="57"/>
      <c r="B173" s="57"/>
      <c r="C173" s="57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</row>
    <row r="174" spans="1:36" x14ac:dyDescent="0.25">
      <c r="A174" s="57"/>
      <c r="B174" s="57"/>
      <c r="C174" s="57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</row>
    <row r="175" spans="1:36" x14ac:dyDescent="0.25">
      <c r="A175" s="57"/>
      <c r="B175" s="57"/>
      <c r="C175" s="57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</row>
    <row r="176" spans="1:36" x14ac:dyDescent="0.25">
      <c r="A176" s="57"/>
      <c r="B176" s="57"/>
      <c r="C176" s="57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</row>
    <row r="177" spans="1:36" x14ac:dyDescent="0.25">
      <c r="A177" s="57"/>
      <c r="B177" s="57"/>
      <c r="C177" s="57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</row>
    <row r="178" spans="1:36" x14ac:dyDescent="0.25">
      <c r="A178" s="57"/>
      <c r="B178" s="57"/>
      <c r="C178" s="57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</row>
    <row r="179" spans="1:36" x14ac:dyDescent="0.25">
      <c r="A179" s="57"/>
      <c r="B179" s="57"/>
      <c r="C179" s="57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</row>
    <row r="180" spans="1:36" x14ac:dyDescent="0.25">
      <c r="A180" s="57"/>
      <c r="B180" s="57"/>
      <c r="C180" s="57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</row>
    <row r="181" spans="1:36" x14ac:dyDescent="0.25">
      <c r="A181" s="57"/>
      <c r="B181" s="57"/>
      <c r="C181" s="57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</row>
    <row r="182" spans="1:36" x14ac:dyDescent="0.25">
      <c r="A182" s="57"/>
      <c r="B182" s="57"/>
      <c r="C182" s="57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</row>
    <row r="183" spans="1:36" x14ac:dyDescent="0.25">
      <c r="A183" s="57"/>
      <c r="B183" s="57"/>
      <c r="C183" s="57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</row>
    <row r="184" spans="1:36" x14ac:dyDescent="0.25">
      <c r="A184" s="57"/>
      <c r="B184" s="57"/>
      <c r="C184" s="57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</row>
    <row r="185" spans="1:36" x14ac:dyDescent="0.25">
      <c r="A185" s="57"/>
      <c r="B185" s="57"/>
      <c r="C185" s="57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</row>
    <row r="186" spans="1:36" x14ac:dyDescent="0.25">
      <c r="A186" s="57"/>
      <c r="B186" s="57"/>
      <c r="C186" s="57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</row>
    <row r="187" spans="1:36" x14ac:dyDescent="0.25">
      <c r="A187" s="57"/>
      <c r="B187" s="57"/>
      <c r="C187" s="57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</row>
    <row r="188" spans="1:36" x14ac:dyDescent="0.25">
      <c r="A188" s="57"/>
      <c r="B188" s="57"/>
      <c r="C188" s="57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</row>
    <row r="189" spans="1:36" x14ac:dyDescent="0.25">
      <c r="A189" s="57"/>
      <c r="B189" s="57"/>
      <c r="C189" s="57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</row>
    <row r="190" spans="1:36" x14ac:dyDescent="0.25">
      <c r="A190" s="57"/>
      <c r="B190" s="57"/>
      <c r="C190" s="57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</row>
    <row r="191" spans="1:36" x14ac:dyDescent="0.25">
      <c r="A191" s="57"/>
      <c r="B191" s="57"/>
      <c r="C191" s="57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</row>
    <row r="192" spans="1:36" x14ac:dyDescent="0.25">
      <c r="A192" s="57"/>
      <c r="B192" s="57"/>
      <c r="C192" s="57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</row>
    <row r="193" spans="1:36" x14ac:dyDescent="0.25">
      <c r="A193" s="57"/>
      <c r="B193" s="57"/>
      <c r="C193" s="57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</row>
    <row r="194" spans="1:36" x14ac:dyDescent="0.25">
      <c r="A194" s="57"/>
      <c r="B194" s="57"/>
      <c r="C194" s="57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</row>
    <row r="195" spans="1:36" x14ac:dyDescent="0.25">
      <c r="A195" s="57"/>
      <c r="B195" s="57"/>
      <c r="C195" s="57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</row>
    <row r="196" spans="1:36" x14ac:dyDescent="0.25">
      <c r="A196" s="57"/>
      <c r="B196" s="57"/>
      <c r="C196" s="57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</row>
    <row r="197" spans="1:36" x14ac:dyDescent="0.25">
      <c r="A197" s="57"/>
      <c r="B197" s="57"/>
      <c r="C197" s="57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</row>
    <row r="198" spans="1:36" x14ac:dyDescent="0.25">
      <c r="A198" s="57"/>
      <c r="B198" s="57"/>
      <c r="C198" s="57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</row>
    <row r="199" spans="1:36" x14ac:dyDescent="0.25">
      <c r="A199" s="57"/>
      <c r="B199" s="57"/>
      <c r="C199" s="57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</row>
    <row r="200" spans="1:36" x14ac:dyDescent="0.25">
      <c r="A200" s="57"/>
      <c r="B200" s="57"/>
      <c r="C200" s="57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</row>
    <row r="201" spans="1:36" x14ac:dyDescent="0.25">
      <c r="A201" s="57"/>
      <c r="B201" s="57"/>
      <c r="C201" s="57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</row>
    <row r="202" spans="1:36" x14ac:dyDescent="0.25">
      <c r="A202" s="57"/>
      <c r="B202" s="57"/>
      <c r="C202" s="57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</row>
    <row r="203" spans="1:36" x14ac:dyDescent="0.25">
      <c r="A203" s="57"/>
      <c r="B203" s="57"/>
      <c r="C203" s="57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</row>
    <row r="204" spans="1:36" x14ac:dyDescent="0.25">
      <c r="A204" s="57"/>
      <c r="B204" s="57"/>
      <c r="C204" s="57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</row>
    <row r="205" spans="1:36" x14ac:dyDescent="0.25">
      <c r="A205" s="57"/>
      <c r="B205" s="57"/>
      <c r="C205" s="57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</row>
    <row r="206" spans="1:36" x14ac:dyDescent="0.25">
      <c r="A206" s="57"/>
      <c r="B206" s="57"/>
      <c r="C206" s="57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</row>
    <row r="207" spans="1:36" x14ac:dyDescent="0.25">
      <c r="A207" s="57"/>
      <c r="B207" s="57"/>
      <c r="C207" s="57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</row>
    <row r="208" spans="1:36" x14ac:dyDescent="0.25">
      <c r="A208" s="57"/>
      <c r="B208" s="57"/>
      <c r="C208" s="57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</row>
    <row r="209" spans="1:36" x14ac:dyDescent="0.25">
      <c r="A209" s="57"/>
      <c r="B209" s="57"/>
      <c r="C209" s="57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</row>
    <row r="210" spans="1:36" x14ac:dyDescent="0.25">
      <c r="A210" s="57"/>
      <c r="B210" s="57"/>
      <c r="C210" s="57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  <c r="AA210" s="57"/>
      <c r="AB210" s="57"/>
      <c r="AC210" s="57"/>
      <c r="AD210" s="57"/>
      <c r="AE210" s="57"/>
      <c r="AF210" s="57"/>
      <c r="AG210" s="57"/>
      <c r="AH210" s="57"/>
      <c r="AI210" s="57"/>
      <c r="AJ210" s="57"/>
    </row>
    <row r="211" spans="1:36" x14ac:dyDescent="0.25">
      <c r="A211" s="57"/>
      <c r="B211" s="57"/>
      <c r="C211" s="57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  <c r="AA211" s="57"/>
      <c r="AB211" s="57"/>
      <c r="AC211" s="57"/>
      <c r="AD211" s="57"/>
      <c r="AE211" s="57"/>
      <c r="AF211" s="57"/>
      <c r="AG211" s="57"/>
      <c r="AH211" s="57"/>
      <c r="AI211" s="57"/>
      <c r="AJ211" s="57"/>
    </row>
    <row r="212" spans="1:36" x14ac:dyDescent="0.25">
      <c r="A212" s="57"/>
      <c r="B212" s="57"/>
      <c r="C212" s="57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  <c r="AA212" s="57"/>
      <c r="AB212" s="57"/>
      <c r="AC212" s="57"/>
      <c r="AD212" s="57"/>
      <c r="AE212" s="57"/>
      <c r="AF212" s="57"/>
      <c r="AG212" s="57"/>
      <c r="AH212" s="57"/>
      <c r="AI212" s="57"/>
      <c r="AJ212" s="57"/>
    </row>
    <row r="213" spans="1:36" x14ac:dyDescent="0.25">
      <c r="A213" s="57"/>
      <c r="B213" s="57"/>
      <c r="C213" s="57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  <c r="AA213" s="57"/>
      <c r="AB213" s="57"/>
      <c r="AC213" s="57"/>
      <c r="AD213" s="57"/>
      <c r="AE213" s="57"/>
      <c r="AF213" s="57"/>
      <c r="AG213" s="57"/>
      <c r="AH213" s="57"/>
      <c r="AI213" s="57"/>
      <c r="AJ213" s="57"/>
    </row>
    <row r="214" spans="1:36" x14ac:dyDescent="0.25">
      <c r="A214" s="57"/>
      <c r="B214" s="57"/>
      <c r="C214" s="57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  <c r="AA214" s="57"/>
      <c r="AB214" s="57"/>
      <c r="AC214" s="57"/>
      <c r="AD214" s="57"/>
      <c r="AE214" s="57"/>
      <c r="AF214" s="57"/>
      <c r="AG214" s="57"/>
      <c r="AH214" s="57"/>
      <c r="AI214" s="57"/>
      <c r="AJ214" s="57"/>
    </row>
    <row r="215" spans="1:36" x14ac:dyDescent="0.25">
      <c r="A215" s="57"/>
      <c r="B215" s="57"/>
      <c r="C215" s="57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  <c r="AA215" s="57"/>
      <c r="AB215" s="57"/>
      <c r="AC215" s="57"/>
      <c r="AD215" s="57"/>
      <c r="AE215" s="57"/>
      <c r="AF215" s="57"/>
      <c r="AG215" s="57"/>
      <c r="AH215" s="57"/>
      <c r="AI215" s="57"/>
      <c r="AJ215" s="57"/>
    </row>
    <row r="216" spans="1:36" x14ac:dyDescent="0.25">
      <c r="A216" s="57"/>
      <c r="B216" s="57"/>
      <c r="C216" s="57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  <c r="Z216" s="57"/>
      <c r="AA216" s="57"/>
      <c r="AB216" s="57"/>
      <c r="AC216" s="57"/>
      <c r="AD216" s="57"/>
      <c r="AE216" s="57"/>
      <c r="AF216" s="57"/>
      <c r="AG216" s="57"/>
      <c r="AH216" s="57"/>
      <c r="AI216" s="57"/>
      <c r="AJ216" s="57"/>
    </row>
    <row r="217" spans="1:36" x14ac:dyDescent="0.25">
      <c r="A217" s="57"/>
      <c r="B217" s="57"/>
      <c r="C217" s="57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  <c r="Z217" s="57"/>
      <c r="AA217" s="57"/>
      <c r="AB217" s="57"/>
      <c r="AC217" s="57"/>
      <c r="AD217" s="57"/>
      <c r="AE217" s="57"/>
      <c r="AF217" s="57"/>
      <c r="AG217" s="57"/>
      <c r="AH217" s="57"/>
      <c r="AI217" s="57"/>
      <c r="AJ217" s="57"/>
    </row>
    <row r="218" spans="1:36" x14ac:dyDescent="0.25">
      <c r="A218" s="57"/>
      <c r="B218" s="57"/>
      <c r="C218" s="57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57"/>
      <c r="X218" s="57"/>
      <c r="Y218" s="57"/>
      <c r="Z218" s="57"/>
      <c r="AA218" s="57"/>
      <c r="AB218" s="57"/>
      <c r="AC218" s="57"/>
      <c r="AD218" s="57"/>
      <c r="AE218" s="57"/>
      <c r="AF218" s="57"/>
      <c r="AG218" s="57"/>
      <c r="AH218" s="57"/>
      <c r="AI218" s="57"/>
      <c r="AJ218" s="57"/>
    </row>
    <row r="219" spans="1:36" x14ac:dyDescent="0.25">
      <c r="A219" s="57"/>
      <c r="B219" s="57"/>
      <c r="C219" s="57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  <c r="AB219" s="57"/>
      <c r="AC219" s="57"/>
      <c r="AD219" s="57"/>
      <c r="AE219" s="57"/>
      <c r="AF219" s="57"/>
      <c r="AG219" s="57"/>
      <c r="AH219" s="57"/>
      <c r="AI219" s="57"/>
      <c r="AJ219" s="57"/>
    </row>
    <row r="220" spans="1:36" x14ac:dyDescent="0.25">
      <c r="A220" s="57"/>
      <c r="B220" s="57"/>
      <c r="C220" s="57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  <c r="AA220" s="57"/>
      <c r="AB220" s="57"/>
      <c r="AC220" s="57"/>
      <c r="AD220" s="57"/>
      <c r="AE220" s="57"/>
      <c r="AF220" s="57"/>
      <c r="AG220" s="57"/>
      <c r="AH220" s="57"/>
      <c r="AI220" s="57"/>
      <c r="AJ220" s="57"/>
    </row>
    <row r="221" spans="1:36" x14ac:dyDescent="0.25">
      <c r="A221" s="57"/>
      <c r="B221" s="57"/>
      <c r="C221" s="57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  <c r="AA221" s="57"/>
      <c r="AB221" s="57"/>
      <c r="AC221" s="57"/>
      <c r="AD221" s="57"/>
      <c r="AE221" s="57"/>
      <c r="AF221" s="57"/>
      <c r="AG221" s="57"/>
      <c r="AH221" s="57"/>
      <c r="AI221" s="57"/>
      <c r="AJ221" s="57"/>
    </row>
    <row r="222" spans="1:36" x14ac:dyDescent="0.25">
      <c r="A222" s="57"/>
      <c r="B222" s="57"/>
      <c r="C222" s="57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57"/>
      <c r="X222" s="57"/>
      <c r="Y222" s="57"/>
      <c r="Z222" s="57"/>
      <c r="AA222" s="57"/>
      <c r="AB222" s="57"/>
      <c r="AC222" s="57"/>
      <c r="AD222" s="57"/>
      <c r="AE222" s="57"/>
      <c r="AF222" s="57"/>
      <c r="AG222" s="57"/>
      <c r="AH222" s="57"/>
      <c r="AI222" s="57"/>
      <c r="AJ222" s="57"/>
    </row>
    <row r="223" spans="1:36" x14ac:dyDescent="0.25">
      <c r="A223" s="57"/>
      <c r="B223" s="57"/>
      <c r="C223" s="57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57"/>
      <c r="X223" s="57"/>
      <c r="Y223" s="57"/>
      <c r="Z223" s="57"/>
      <c r="AA223" s="57"/>
      <c r="AB223" s="57"/>
      <c r="AC223" s="57"/>
      <c r="AD223" s="57"/>
      <c r="AE223" s="57"/>
      <c r="AF223" s="57"/>
      <c r="AG223" s="57"/>
      <c r="AH223" s="57"/>
      <c r="AI223" s="57"/>
      <c r="AJ223" s="57"/>
    </row>
    <row r="224" spans="1:36" x14ac:dyDescent="0.25">
      <c r="A224" s="57"/>
      <c r="B224" s="57"/>
      <c r="C224" s="57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57"/>
      <c r="X224" s="57"/>
      <c r="Y224" s="57"/>
      <c r="Z224" s="57"/>
      <c r="AA224" s="57"/>
      <c r="AB224" s="57"/>
      <c r="AC224" s="57"/>
      <c r="AD224" s="57"/>
      <c r="AE224" s="57"/>
      <c r="AF224" s="57"/>
      <c r="AG224" s="57"/>
      <c r="AH224" s="57"/>
      <c r="AI224" s="57"/>
      <c r="AJ224" s="57"/>
    </row>
    <row r="225" spans="1:36" x14ac:dyDescent="0.25">
      <c r="A225" s="57"/>
      <c r="B225" s="57"/>
      <c r="C225" s="57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57"/>
      <c r="X225" s="57"/>
      <c r="Y225" s="57"/>
      <c r="Z225" s="57"/>
      <c r="AA225" s="57"/>
      <c r="AB225" s="57"/>
      <c r="AC225" s="57"/>
      <c r="AD225" s="57"/>
      <c r="AE225" s="57"/>
      <c r="AF225" s="57"/>
      <c r="AG225" s="57"/>
      <c r="AH225" s="57"/>
      <c r="AI225" s="57"/>
      <c r="AJ225" s="57"/>
    </row>
    <row r="226" spans="1:36" x14ac:dyDescent="0.25">
      <c r="A226" s="57"/>
      <c r="B226" s="57"/>
      <c r="C226" s="57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  <c r="O226" s="57"/>
      <c r="P226" s="57"/>
      <c r="Q226" s="57"/>
      <c r="R226" s="57"/>
      <c r="S226" s="57"/>
      <c r="T226" s="57"/>
      <c r="U226" s="57"/>
      <c r="V226" s="57"/>
      <c r="W226" s="57"/>
      <c r="X226" s="57"/>
      <c r="Y226" s="57"/>
      <c r="Z226" s="57"/>
      <c r="AA226" s="57"/>
      <c r="AB226" s="57"/>
      <c r="AC226" s="57"/>
      <c r="AD226" s="57"/>
      <c r="AE226" s="57"/>
      <c r="AF226" s="57"/>
      <c r="AG226" s="57"/>
      <c r="AH226" s="57"/>
      <c r="AI226" s="57"/>
      <c r="AJ226" s="57"/>
    </row>
    <row r="227" spans="1:36" x14ac:dyDescent="0.25">
      <c r="A227" s="57"/>
      <c r="B227" s="57"/>
      <c r="C227" s="57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  <c r="Z227" s="57"/>
      <c r="AA227" s="57"/>
      <c r="AB227" s="57"/>
      <c r="AC227" s="57"/>
      <c r="AD227" s="57"/>
      <c r="AE227" s="57"/>
      <c r="AF227" s="57"/>
      <c r="AG227" s="57"/>
      <c r="AH227" s="57"/>
      <c r="AI227" s="57"/>
      <c r="AJ227" s="57"/>
    </row>
    <row r="228" spans="1:36" x14ac:dyDescent="0.25">
      <c r="A228" s="57"/>
      <c r="B228" s="57"/>
      <c r="C228" s="57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  <c r="Z228" s="57"/>
      <c r="AA228" s="57"/>
      <c r="AB228" s="57"/>
      <c r="AC228" s="57"/>
      <c r="AD228" s="57"/>
      <c r="AE228" s="57"/>
      <c r="AF228" s="57"/>
      <c r="AG228" s="57"/>
      <c r="AH228" s="57"/>
      <c r="AI228" s="57"/>
      <c r="AJ228" s="57"/>
    </row>
    <row r="229" spans="1:36" x14ac:dyDescent="0.25">
      <c r="A229" s="57"/>
      <c r="B229" s="57"/>
      <c r="C229" s="57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  <c r="AA229" s="57"/>
      <c r="AB229" s="57"/>
      <c r="AC229" s="57"/>
      <c r="AD229" s="57"/>
      <c r="AE229" s="57"/>
      <c r="AF229" s="57"/>
      <c r="AG229" s="57"/>
      <c r="AH229" s="57"/>
      <c r="AI229" s="57"/>
      <c r="AJ229" s="57"/>
    </row>
    <row r="230" spans="1:36" x14ac:dyDescent="0.25">
      <c r="A230" s="57"/>
      <c r="B230" s="57"/>
      <c r="C230" s="57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57"/>
      <c r="X230" s="57"/>
      <c r="Y230" s="57"/>
      <c r="Z230" s="57"/>
      <c r="AA230" s="57"/>
      <c r="AB230" s="57"/>
      <c r="AC230" s="57"/>
      <c r="AD230" s="57"/>
      <c r="AE230" s="57"/>
      <c r="AF230" s="57"/>
      <c r="AG230" s="57"/>
      <c r="AH230" s="57"/>
      <c r="AI230" s="57"/>
      <c r="AJ230" s="57"/>
    </row>
    <row r="231" spans="1:36" x14ac:dyDescent="0.25">
      <c r="A231" s="57"/>
      <c r="B231" s="57"/>
      <c r="C231" s="57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  <c r="AA231" s="57"/>
      <c r="AB231" s="57"/>
      <c r="AC231" s="57"/>
      <c r="AD231" s="57"/>
      <c r="AE231" s="57"/>
      <c r="AF231" s="57"/>
      <c r="AG231" s="57"/>
      <c r="AH231" s="57"/>
      <c r="AI231" s="57"/>
      <c r="AJ231" s="57"/>
    </row>
    <row r="232" spans="1:36" x14ac:dyDescent="0.25">
      <c r="A232" s="57"/>
      <c r="B232" s="57"/>
      <c r="C232" s="57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  <c r="AA232" s="57"/>
      <c r="AB232" s="57"/>
      <c r="AC232" s="57"/>
      <c r="AD232" s="57"/>
      <c r="AE232" s="57"/>
      <c r="AF232" s="57"/>
      <c r="AG232" s="57"/>
      <c r="AH232" s="57"/>
      <c r="AI232" s="57"/>
      <c r="AJ232" s="57"/>
    </row>
    <row r="233" spans="1:36" x14ac:dyDescent="0.25">
      <c r="A233" s="57"/>
      <c r="B233" s="57"/>
      <c r="C233" s="57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  <c r="AA233" s="57"/>
      <c r="AB233" s="57"/>
      <c r="AC233" s="57"/>
      <c r="AD233" s="57"/>
      <c r="AE233" s="57"/>
      <c r="AF233" s="57"/>
      <c r="AG233" s="57"/>
      <c r="AH233" s="57"/>
      <c r="AI233" s="57"/>
      <c r="AJ233" s="57"/>
    </row>
    <row r="234" spans="1:36" x14ac:dyDescent="0.25">
      <c r="A234" s="57"/>
      <c r="B234" s="57"/>
      <c r="C234" s="57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  <c r="AA234" s="57"/>
      <c r="AB234" s="57"/>
      <c r="AC234" s="57"/>
      <c r="AD234" s="57"/>
      <c r="AE234" s="57"/>
      <c r="AF234" s="57"/>
      <c r="AG234" s="57"/>
      <c r="AH234" s="57"/>
      <c r="AI234" s="57"/>
      <c r="AJ234" s="57"/>
    </row>
    <row r="235" spans="1:36" x14ac:dyDescent="0.25">
      <c r="A235" s="57"/>
      <c r="B235" s="57"/>
      <c r="C235" s="57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  <c r="AA235" s="57"/>
      <c r="AB235" s="57"/>
      <c r="AC235" s="57"/>
      <c r="AD235" s="57"/>
      <c r="AE235" s="57"/>
      <c r="AF235" s="57"/>
      <c r="AG235" s="57"/>
      <c r="AH235" s="57"/>
      <c r="AI235" s="57"/>
      <c r="AJ235" s="57"/>
    </row>
    <row r="236" spans="1:36" x14ac:dyDescent="0.25">
      <c r="A236" s="57"/>
      <c r="B236" s="57"/>
      <c r="C236" s="57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  <c r="AA236" s="57"/>
      <c r="AB236" s="57"/>
      <c r="AC236" s="57"/>
      <c r="AD236" s="57"/>
      <c r="AE236" s="57"/>
      <c r="AF236" s="57"/>
      <c r="AG236" s="57"/>
      <c r="AH236" s="57"/>
      <c r="AI236" s="57"/>
      <c r="AJ236" s="57"/>
    </row>
    <row r="237" spans="1:36" x14ac:dyDescent="0.25">
      <c r="A237" s="57"/>
      <c r="B237" s="57"/>
      <c r="C237" s="57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</row>
    <row r="238" spans="1:36" x14ac:dyDescent="0.25">
      <c r="A238" s="57"/>
      <c r="B238" s="57"/>
      <c r="C238" s="57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57"/>
      <c r="X238" s="57"/>
      <c r="Y238" s="57"/>
      <c r="Z238" s="57"/>
      <c r="AA238" s="57"/>
      <c r="AB238" s="57"/>
      <c r="AC238" s="57"/>
      <c r="AD238" s="57"/>
      <c r="AE238" s="57"/>
      <c r="AF238" s="57"/>
      <c r="AG238" s="57"/>
      <c r="AH238" s="57"/>
      <c r="AI238" s="57"/>
      <c r="AJ238" s="57"/>
    </row>
    <row r="239" spans="1:36" x14ac:dyDescent="0.25">
      <c r="A239" s="57"/>
      <c r="B239" s="57"/>
      <c r="C239" s="57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  <c r="Z239" s="57"/>
      <c r="AA239" s="57"/>
      <c r="AB239" s="57"/>
      <c r="AC239" s="57"/>
      <c r="AD239" s="57"/>
      <c r="AE239" s="57"/>
      <c r="AF239" s="57"/>
      <c r="AG239" s="57"/>
      <c r="AH239" s="57"/>
      <c r="AI239" s="57"/>
      <c r="AJ239" s="57"/>
    </row>
    <row r="240" spans="1:36" x14ac:dyDescent="0.25">
      <c r="A240" s="57"/>
      <c r="B240" s="57"/>
      <c r="C240" s="57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  <c r="Z240" s="57"/>
      <c r="AA240" s="57"/>
      <c r="AB240" s="57"/>
      <c r="AC240" s="57"/>
      <c r="AD240" s="57"/>
      <c r="AE240" s="57"/>
      <c r="AF240" s="57"/>
      <c r="AG240" s="57"/>
      <c r="AH240" s="57"/>
      <c r="AI240" s="57"/>
      <c r="AJ240" s="57"/>
    </row>
    <row r="241" spans="1:36" x14ac:dyDescent="0.25">
      <c r="A241" s="57"/>
      <c r="B241" s="57"/>
      <c r="C241" s="57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57"/>
      <c r="X241" s="57"/>
      <c r="Y241" s="57"/>
      <c r="Z241" s="57"/>
      <c r="AA241" s="57"/>
      <c r="AB241" s="57"/>
      <c r="AC241" s="57"/>
      <c r="AD241" s="57"/>
      <c r="AE241" s="57"/>
      <c r="AF241" s="57"/>
      <c r="AG241" s="57"/>
      <c r="AH241" s="57"/>
      <c r="AI241" s="57"/>
      <c r="AJ241" s="57"/>
    </row>
    <row r="242" spans="1:36" x14ac:dyDescent="0.25">
      <c r="A242" s="57"/>
      <c r="B242" s="57"/>
      <c r="C242" s="57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  <c r="AA242" s="57"/>
      <c r="AB242" s="57"/>
      <c r="AC242" s="57"/>
      <c r="AD242" s="57"/>
      <c r="AE242" s="57"/>
      <c r="AF242" s="57"/>
      <c r="AG242" s="57"/>
      <c r="AH242" s="57"/>
      <c r="AI242" s="57"/>
      <c r="AJ242" s="57"/>
    </row>
    <row r="243" spans="1:36" x14ac:dyDescent="0.25">
      <c r="A243" s="57"/>
      <c r="B243" s="57"/>
      <c r="C243" s="57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</row>
    <row r="244" spans="1:36" x14ac:dyDescent="0.25">
      <c r="A244" s="57"/>
      <c r="B244" s="57"/>
      <c r="C244" s="57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57"/>
      <c r="X244" s="57"/>
      <c r="Y244" s="57"/>
      <c r="Z244" s="57"/>
      <c r="AA244" s="57"/>
      <c r="AB244" s="57"/>
      <c r="AC244" s="57"/>
      <c r="AD244" s="57"/>
      <c r="AE244" s="57"/>
      <c r="AF244" s="57"/>
      <c r="AG244" s="57"/>
      <c r="AH244" s="57"/>
      <c r="AI244" s="57"/>
      <c r="AJ244" s="57"/>
    </row>
    <row r="245" spans="1:36" x14ac:dyDescent="0.25">
      <c r="A245" s="57"/>
      <c r="B245" s="57"/>
      <c r="C245" s="57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</row>
    <row r="246" spans="1:36" x14ac:dyDescent="0.25">
      <c r="A246" s="57"/>
      <c r="B246" s="57"/>
      <c r="C246" s="57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57"/>
      <c r="X246" s="57"/>
      <c r="Y246" s="57"/>
      <c r="Z246" s="57"/>
      <c r="AA246" s="57"/>
      <c r="AB246" s="57"/>
      <c r="AC246" s="57"/>
      <c r="AD246" s="57"/>
      <c r="AE246" s="57"/>
      <c r="AF246" s="57"/>
      <c r="AG246" s="57"/>
      <c r="AH246" s="57"/>
      <c r="AI246" s="57"/>
      <c r="AJ246" s="57"/>
    </row>
    <row r="247" spans="1:36" x14ac:dyDescent="0.25">
      <c r="A247" s="57"/>
      <c r="B247" s="57"/>
      <c r="C247" s="57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  <c r="O247" s="57"/>
      <c r="P247" s="57"/>
      <c r="Q247" s="57"/>
      <c r="R247" s="57"/>
      <c r="S247" s="57"/>
      <c r="T247" s="57"/>
      <c r="U247" s="57"/>
      <c r="V247" s="57"/>
      <c r="W247" s="57"/>
      <c r="X247" s="57"/>
      <c r="Y247" s="57"/>
      <c r="Z247" s="57"/>
      <c r="AA247" s="57"/>
      <c r="AB247" s="57"/>
      <c r="AC247" s="57"/>
      <c r="AD247" s="57"/>
      <c r="AE247" s="57"/>
      <c r="AF247" s="57"/>
      <c r="AG247" s="57"/>
      <c r="AH247" s="57"/>
      <c r="AI247" s="57"/>
      <c r="AJ247" s="57"/>
    </row>
    <row r="248" spans="1:36" x14ac:dyDescent="0.25">
      <c r="A248" s="57"/>
      <c r="B248" s="57"/>
      <c r="C248" s="57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  <c r="O248" s="57"/>
      <c r="P248" s="57"/>
      <c r="Q248" s="57"/>
      <c r="R248" s="57"/>
      <c r="S248" s="57"/>
      <c r="T248" s="57"/>
      <c r="U248" s="57"/>
      <c r="V248" s="57"/>
      <c r="W248" s="57"/>
      <c r="X248" s="57"/>
      <c r="Y248" s="57"/>
      <c r="Z248" s="57"/>
      <c r="AA248" s="57"/>
      <c r="AB248" s="57"/>
      <c r="AC248" s="57"/>
      <c r="AD248" s="57"/>
      <c r="AE248" s="57"/>
      <c r="AF248" s="57"/>
      <c r="AG248" s="57"/>
      <c r="AH248" s="57"/>
      <c r="AI248" s="57"/>
      <c r="AJ248" s="57"/>
    </row>
    <row r="249" spans="1:36" x14ac:dyDescent="0.25">
      <c r="A249" s="57"/>
      <c r="B249" s="57"/>
      <c r="C249" s="57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  <c r="O249" s="57"/>
      <c r="P249" s="57"/>
      <c r="Q249" s="57"/>
      <c r="R249" s="57"/>
      <c r="S249" s="57"/>
      <c r="T249" s="57"/>
      <c r="U249" s="57"/>
      <c r="V249" s="57"/>
      <c r="W249" s="57"/>
      <c r="X249" s="57"/>
      <c r="Y249" s="57"/>
      <c r="Z249" s="57"/>
      <c r="AA249" s="57"/>
      <c r="AB249" s="57"/>
      <c r="AC249" s="57"/>
      <c r="AD249" s="57"/>
      <c r="AE249" s="57"/>
      <c r="AF249" s="57"/>
      <c r="AG249" s="57"/>
      <c r="AH249" s="57"/>
      <c r="AI249" s="57"/>
      <c r="AJ249" s="57"/>
    </row>
    <row r="250" spans="1:36" x14ac:dyDescent="0.25">
      <c r="A250" s="57"/>
      <c r="B250" s="57"/>
      <c r="C250" s="57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57"/>
      <c r="X250" s="57"/>
      <c r="Y250" s="57"/>
      <c r="Z250" s="57"/>
      <c r="AA250" s="57"/>
      <c r="AB250" s="57"/>
      <c r="AC250" s="57"/>
      <c r="AD250" s="57"/>
      <c r="AE250" s="57"/>
      <c r="AF250" s="57"/>
      <c r="AG250" s="57"/>
      <c r="AH250" s="57"/>
      <c r="AI250" s="57"/>
      <c r="AJ250" s="57"/>
    </row>
    <row r="251" spans="1:36" x14ac:dyDescent="0.25">
      <c r="A251" s="57"/>
      <c r="B251" s="57"/>
      <c r="C251" s="57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  <c r="AA251" s="57"/>
      <c r="AB251" s="57"/>
      <c r="AC251" s="57"/>
      <c r="AD251" s="57"/>
      <c r="AE251" s="57"/>
      <c r="AF251" s="57"/>
      <c r="AG251" s="57"/>
      <c r="AH251" s="57"/>
      <c r="AI251" s="57"/>
      <c r="AJ251" s="57"/>
    </row>
    <row r="252" spans="1:36" x14ac:dyDescent="0.25">
      <c r="A252" s="57"/>
      <c r="B252" s="57"/>
      <c r="C252" s="57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  <c r="AA252" s="57"/>
      <c r="AB252" s="57"/>
      <c r="AC252" s="57"/>
      <c r="AD252" s="57"/>
      <c r="AE252" s="57"/>
      <c r="AF252" s="57"/>
      <c r="AG252" s="57"/>
      <c r="AH252" s="57"/>
      <c r="AI252" s="57"/>
      <c r="AJ252" s="57"/>
    </row>
    <row r="253" spans="1:36" x14ac:dyDescent="0.25">
      <c r="A253" s="57"/>
      <c r="B253" s="57"/>
      <c r="C253" s="57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  <c r="AA253" s="57"/>
      <c r="AB253" s="57"/>
      <c r="AC253" s="57"/>
      <c r="AD253" s="57"/>
      <c r="AE253" s="57"/>
      <c r="AF253" s="57"/>
      <c r="AG253" s="57"/>
      <c r="AH253" s="57"/>
      <c r="AI253" s="57"/>
      <c r="AJ253" s="57"/>
    </row>
    <row r="254" spans="1:36" x14ac:dyDescent="0.25">
      <c r="A254" s="57"/>
      <c r="B254" s="57"/>
      <c r="C254" s="57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  <c r="O254" s="57"/>
      <c r="P254" s="57"/>
      <c r="Q254" s="57"/>
      <c r="R254" s="57"/>
      <c r="S254" s="57"/>
      <c r="T254" s="57"/>
      <c r="U254" s="57"/>
      <c r="V254" s="57"/>
      <c r="W254" s="57"/>
      <c r="X254" s="57"/>
      <c r="Y254" s="57"/>
      <c r="Z254" s="57"/>
      <c r="AA254" s="57"/>
      <c r="AB254" s="57"/>
      <c r="AC254" s="57"/>
      <c r="AD254" s="57"/>
      <c r="AE254" s="57"/>
      <c r="AF254" s="57"/>
      <c r="AG254" s="57"/>
      <c r="AH254" s="57"/>
      <c r="AI254" s="57"/>
      <c r="AJ254" s="57"/>
    </row>
    <row r="255" spans="1:36" x14ac:dyDescent="0.25">
      <c r="A255" s="57"/>
      <c r="B255" s="57"/>
      <c r="C255" s="57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57"/>
      <c r="X255" s="57"/>
      <c r="Y255" s="57"/>
      <c r="Z255" s="57"/>
      <c r="AA255" s="57"/>
      <c r="AB255" s="57"/>
      <c r="AC255" s="57"/>
      <c r="AD255" s="57"/>
      <c r="AE255" s="57"/>
      <c r="AF255" s="57"/>
      <c r="AG255" s="57"/>
      <c r="AH255" s="57"/>
      <c r="AI255" s="57"/>
      <c r="AJ255" s="57"/>
    </row>
    <row r="256" spans="1:36" x14ac:dyDescent="0.25">
      <c r="A256" s="57"/>
      <c r="B256" s="57"/>
      <c r="C256" s="57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  <c r="O256" s="57"/>
      <c r="P256" s="57"/>
      <c r="Q256" s="57"/>
      <c r="R256" s="57"/>
      <c r="S256" s="57"/>
      <c r="T256" s="57"/>
      <c r="U256" s="57"/>
      <c r="V256" s="57"/>
      <c r="W256" s="57"/>
      <c r="X256" s="57"/>
      <c r="Y256" s="57"/>
      <c r="Z256" s="57"/>
      <c r="AA256" s="57"/>
      <c r="AB256" s="57"/>
      <c r="AC256" s="57"/>
      <c r="AD256" s="57"/>
      <c r="AE256" s="57"/>
      <c r="AF256" s="57"/>
      <c r="AG256" s="57"/>
      <c r="AH256" s="57"/>
      <c r="AI256" s="57"/>
      <c r="AJ256" s="57"/>
    </row>
    <row r="257" spans="1:36" x14ac:dyDescent="0.25">
      <c r="A257" s="57"/>
      <c r="B257" s="57"/>
      <c r="C257" s="57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  <c r="O257" s="57"/>
      <c r="P257" s="57"/>
      <c r="Q257" s="57"/>
      <c r="R257" s="57"/>
      <c r="S257" s="57"/>
      <c r="T257" s="57"/>
      <c r="U257" s="57"/>
      <c r="V257" s="57"/>
      <c r="W257" s="57"/>
      <c r="X257" s="57"/>
      <c r="Y257" s="57"/>
      <c r="Z257" s="57"/>
      <c r="AA257" s="57"/>
      <c r="AB257" s="57"/>
      <c r="AC257" s="57"/>
      <c r="AD257" s="57"/>
      <c r="AE257" s="57"/>
      <c r="AF257" s="57"/>
      <c r="AG257" s="57"/>
      <c r="AH257" s="57"/>
      <c r="AI257" s="57"/>
      <c r="AJ257" s="57"/>
    </row>
    <row r="258" spans="1:36" x14ac:dyDescent="0.25">
      <c r="A258" s="57"/>
      <c r="B258" s="57"/>
      <c r="C258" s="57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  <c r="O258" s="57"/>
      <c r="P258" s="57"/>
      <c r="Q258" s="57"/>
      <c r="R258" s="57"/>
      <c r="S258" s="57"/>
      <c r="T258" s="57"/>
      <c r="U258" s="57"/>
      <c r="V258" s="57"/>
      <c r="W258" s="57"/>
      <c r="X258" s="57"/>
      <c r="Y258" s="57"/>
      <c r="Z258" s="57"/>
      <c r="AA258" s="57"/>
      <c r="AB258" s="57"/>
      <c r="AC258" s="57"/>
      <c r="AD258" s="57"/>
      <c r="AE258" s="57"/>
      <c r="AF258" s="57"/>
      <c r="AG258" s="57"/>
      <c r="AH258" s="57"/>
      <c r="AI258" s="57"/>
      <c r="AJ258" s="57"/>
    </row>
    <row r="259" spans="1:36" x14ac:dyDescent="0.25">
      <c r="A259" s="57"/>
      <c r="B259" s="57"/>
      <c r="C259" s="57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  <c r="O259" s="57"/>
      <c r="P259" s="57"/>
      <c r="Q259" s="57"/>
      <c r="R259" s="57"/>
      <c r="S259" s="57"/>
      <c r="T259" s="57"/>
      <c r="U259" s="57"/>
      <c r="V259" s="57"/>
      <c r="W259" s="57"/>
      <c r="X259" s="57"/>
      <c r="Y259" s="57"/>
      <c r="Z259" s="57"/>
      <c r="AA259" s="57"/>
      <c r="AB259" s="57"/>
      <c r="AC259" s="57"/>
      <c r="AD259" s="57"/>
      <c r="AE259" s="57"/>
      <c r="AF259" s="57"/>
      <c r="AG259" s="57"/>
      <c r="AH259" s="57"/>
      <c r="AI259" s="57"/>
      <c r="AJ259" s="57"/>
    </row>
    <row r="260" spans="1:36" x14ac:dyDescent="0.25">
      <c r="A260" s="57"/>
      <c r="B260" s="57"/>
      <c r="C260" s="57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  <c r="O260" s="57"/>
      <c r="P260" s="57"/>
      <c r="Q260" s="57"/>
      <c r="R260" s="57"/>
      <c r="S260" s="57"/>
      <c r="T260" s="57"/>
      <c r="U260" s="57"/>
      <c r="V260" s="57"/>
      <c r="W260" s="57"/>
      <c r="X260" s="57"/>
      <c r="Y260" s="57"/>
      <c r="Z260" s="57"/>
      <c r="AA260" s="57"/>
      <c r="AB260" s="57"/>
      <c r="AC260" s="57"/>
      <c r="AD260" s="57"/>
      <c r="AE260" s="57"/>
      <c r="AF260" s="57"/>
      <c r="AG260" s="57"/>
      <c r="AH260" s="57"/>
      <c r="AI260" s="57"/>
      <c r="AJ260" s="57"/>
    </row>
    <row r="261" spans="1:36" x14ac:dyDescent="0.25">
      <c r="A261" s="57"/>
      <c r="B261" s="57"/>
      <c r="C261" s="57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  <c r="O261" s="57"/>
      <c r="P261" s="57"/>
      <c r="Q261" s="57"/>
      <c r="R261" s="57"/>
      <c r="S261" s="57"/>
      <c r="T261" s="57"/>
      <c r="U261" s="57"/>
      <c r="V261" s="57"/>
      <c r="W261" s="57"/>
      <c r="X261" s="57"/>
      <c r="Y261" s="57"/>
      <c r="Z261" s="57"/>
      <c r="AA261" s="57"/>
      <c r="AB261" s="57"/>
      <c r="AC261" s="57"/>
      <c r="AD261" s="57"/>
      <c r="AE261" s="57"/>
      <c r="AF261" s="57"/>
      <c r="AG261" s="57"/>
      <c r="AH261" s="57"/>
      <c r="AI261" s="57"/>
      <c r="AJ261" s="57"/>
    </row>
    <row r="262" spans="1:36" x14ac:dyDescent="0.25">
      <c r="A262" s="57"/>
      <c r="B262" s="57"/>
      <c r="C262" s="57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  <c r="O262" s="57"/>
      <c r="P262" s="57"/>
      <c r="Q262" s="57"/>
      <c r="R262" s="57"/>
      <c r="S262" s="57"/>
      <c r="T262" s="57"/>
      <c r="U262" s="57"/>
      <c r="V262" s="57"/>
      <c r="W262" s="57"/>
      <c r="X262" s="57"/>
      <c r="Y262" s="57"/>
      <c r="Z262" s="57"/>
      <c r="AA262" s="57"/>
      <c r="AB262" s="57"/>
      <c r="AC262" s="57"/>
      <c r="AD262" s="57"/>
      <c r="AE262" s="57"/>
      <c r="AF262" s="57"/>
      <c r="AG262" s="57"/>
      <c r="AH262" s="57"/>
      <c r="AI262" s="57"/>
      <c r="AJ262" s="57"/>
    </row>
    <row r="263" spans="1:36" x14ac:dyDescent="0.25">
      <c r="A263" s="57"/>
      <c r="B263" s="57"/>
      <c r="C263" s="57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  <c r="O263" s="57"/>
      <c r="P263" s="57"/>
      <c r="Q263" s="57"/>
      <c r="R263" s="57"/>
      <c r="S263" s="57"/>
      <c r="T263" s="57"/>
      <c r="U263" s="57"/>
      <c r="V263" s="57"/>
      <c r="W263" s="57"/>
      <c r="X263" s="57"/>
      <c r="Y263" s="57"/>
      <c r="Z263" s="57"/>
      <c r="AA263" s="57"/>
      <c r="AB263" s="57"/>
      <c r="AC263" s="57"/>
      <c r="AD263" s="57"/>
      <c r="AE263" s="57"/>
      <c r="AF263" s="57"/>
      <c r="AG263" s="57"/>
      <c r="AH263" s="57"/>
      <c r="AI263" s="57"/>
      <c r="AJ263" s="57"/>
    </row>
    <row r="264" spans="1:36" x14ac:dyDescent="0.25">
      <c r="A264" s="57"/>
      <c r="B264" s="57"/>
      <c r="C264" s="57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  <c r="O264" s="57"/>
      <c r="P264" s="57"/>
      <c r="Q264" s="57"/>
      <c r="R264" s="57"/>
      <c r="S264" s="57"/>
      <c r="T264" s="57"/>
      <c r="U264" s="57"/>
      <c r="V264" s="57"/>
      <c r="W264" s="57"/>
      <c r="X264" s="57"/>
      <c r="Y264" s="57"/>
      <c r="Z264" s="57"/>
      <c r="AA264" s="57"/>
      <c r="AB264" s="57"/>
      <c r="AC264" s="57"/>
      <c r="AD264" s="57"/>
      <c r="AE264" s="57"/>
      <c r="AF264" s="57"/>
      <c r="AG264" s="57"/>
      <c r="AH264" s="57"/>
      <c r="AI264" s="57"/>
      <c r="AJ264" s="57"/>
    </row>
    <row r="265" spans="1:36" x14ac:dyDescent="0.25">
      <c r="A265" s="57"/>
      <c r="B265" s="57"/>
      <c r="C265" s="57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  <c r="O265" s="57"/>
      <c r="P265" s="57"/>
      <c r="Q265" s="57"/>
      <c r="R265" s="57"/>
      <c r="S265" s="57"/>
      <c r="T265" s="57"/>
      <c r="U265" s="57"/>
      <c r="V265" s="57"/>
      <c r="W265" s="57"/>
      <c r="X265" s="57"/>
      <c r="Y265" s="57"/>
      <c r="Z265" s="57"/>
      <c r="AA265" s="57"/>
      <c r="AB265" s="57"/>
      <c r="AC265" s="57"/>
      <c r="AD265" s="57"/>
      <c r="AE265" s="57"/>
      <c r="AF265" s="57"/>
      <c r="AG265" s="57"/>
      <c r="AH265" s="57"/>
      <c r="AI265" s="57"/>
      <c r="AJ265" s="57"/>
    </row>
    <row r="266" spans="1:36" x14ac:dyDescent="0.25">
      <c r="A266" s="57"/>
      <c r="B266" s="57"/>
      <c r="C266" s="57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  <c r="O266" s="57"/>
      <c r="P266" s="57"/>
      <c r="Q266" s="57"/>
      <c r="R266" s="57"/>
      <c r="S266" s="57"/>
      <c r="T266" s="57"/>
      <c r="U266" s="57"/>
      <c r="V266" s="57"/>
      <c r="W266" s="57"/>
      <c r="X266" s="57"/>
      <c r="Y266" s="57"/>
      <c r="Z266" s="57"/>
      <c r="AA266" s="57"/>
      <c r="AB266" s="57"/>
      <c r="AC266" s="57"/>
      <c r="AD266" s="57"/>
      <c r="AE266" s="57"/>
      <c r="AF266" s="57"/>
      <c r="AG266" s="57"/>
      <c r="AH266" s="57"/>
      <c r="AI266" s="57"/>
      <c r="AJ266" s="57"/>
    </row>
    <row r="267" spans="1:36" x14ac:dyDescent="0.25">
      <c r="A267" s="57"/>
      <c r="B267" s="57"/>
      <c r="C267" s="57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  <c r="O267" s="57"/>
      <c r="P267" s="57"/>
      <c r="Q267" s="57"/>
      <c r="R267" s="57"/>
      <c r="S267" s="57"/>
      <c r="T267" s="57"/>
      <c r="U267" s="57"/>
      <c r="V267" s="57"/>
      <c r="W267" s="57"/>
      <c r="X267" s="57"/>
      <c r="Y267" s="57"/>
      <c r="Z267" s="57"/>
      <c r="AA267" s="57"/>
      <c r="AB267" s="57"/>
      <c r="AC267" s="57"/>
      <c r="AD267" s="57"/>
      <c r="AE267" s="57"/>
      <c r="AF267" s="57"/>
      <c r="AG267" s="57"/>
      <c r="AH267" s="57"/>
      <c r="AI267" s="57"/>
      <c r="AJ267" s="57"/>
    </row>
    <row r="268" spans="1:36" x14ac:dyDescent="0.25">
      <c r="A268" s="57"/>
      <c r="B268" s="57"/>
      <c r="C268" s="57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  <c r="O268" s="57"/>
      <c r="P268" s="57"/>
      <c r="Q268" s="57"/>
      <c r="R268" s="57"/>
      <c r="S268" s="57"/>
      <c r="T268" s="57"/>
      <c r="U268" s="57"/>
      <c r="V268" s="57"/>
      <c r="W268" s="57"/>
      <c r="X268" s="57"/>
      <c r="Y268" s="57"/>
      <c r="Z268" s="57"/>
      <c r="AA268" s="57"/>
      <c r="AB268" s="57"/>
      <c r="AC268" s="57"/>
      <c r="AD268" s="57"/>
      <c r="AE268" s="57"/>
      <c r="AF268" s="57"/>
      <c r="AG268" s="57"/>
      <c r="AH268" s="57"/>
      <c r="AI268" s="57"/>
      <c r="AJ268" s="57"/>
    </row>
    <row r="269" spans="1:36" x14ac:dyDescent="0.25">
      <c r="A269" s="57"/>
      <c r="B269" s="57"/>
      <c r="C269" s="57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  <c r="O269" s="57"/>
      <c r="P269" s="57"/>
      <c r="Q269" s="57"/>
      <c r="R269" s="57"/>
      <c r="S269" s="57"/>
      <c r="T269" s="57"/>
      <c r="U269" s="57"/>
      <c r="V269" s="57"/>
      <c r="W269" s="57"/>
      <c r="X269" s="57"/>
      <c r="Y269" s="57"/>
      <c r="Z269" s="57"/>
      <c r="AA269" s="57"/>
      <c r="AB269" s="57"/>
      <c r="AC269" s="57"/>
      <c r="AD269" s="57"/>
      <c r="AE269" s="57"/>
      <c r="AF269" s="57"/>
      <c r="AG269" s="57"/>
      <c r="AH269" s="57"/>
      <c r="AI269" s="57"/>
      <c r="AJ269" s="57"/>
    </row>
    <row r="270" spans="1:36" x14ac:dyDescent="0.25">
      <c r="A270" s="57"/>
      <c r="B270" s="57"/>
      <c r="C270" s="57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  <c r="O270" s="57"/>
      <c r="P270" s="57"/>
      <c r="Q270" s="57"/>
      <c r="R270" s="57"/>
      <c r="S270" s="57"/>
      <c r="T270" s="57"/>
      <c r="U270" s="57"/>
      <c r="V270" s="57"/>
      <c r="W270" s="57"/>
      <c r="X270" s="57"/>
      <c r="Y270" s="57"/>
      <c r="Z270" s="57"/>
      <c r="AA270" s="57"/>
      <c r="AB270" s="57"/>
      <c r="AC270" s="57"/>
      <c r="AD270" s="57"/>
      <c r="AE270" s="57"/>
      <c r="AF270" s="57"/>
      <c r="AG270" s="57"/>
      <c r="AH270" s="57"/>
      <c r="AI270" s="57"/>
      <c r="AJ270" s="57"/>
    </row>
    <row r="271" spans="1:36" x14ac:dyDescent="0.25">
      <c r="A271" s="57"/>
      <c r="B271" s="57"/>
      <c r="C271" s="57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  <c r="O271" s="57"/>
      <c r="P271" s="57"/>
      <c r="Q271" s="57"/>
      <c r="R271" s="57"/>
      <c r="S271" s="57"/>
      <c r="T271" s="57"/>
      <c r="U271" s="57"/>
      <c r="V271" s="57"/>
      <c r="W271" s="57"/>
      <c r="X271" s="57"/>
      <c r="Y271" s="57"/>
      <c r="Z271" s="57"/>
      <c r="AA271" s="57"/>
      <c r="AB271" s="57"/>
      <c r="AC271" s="57"/>
      <c r="AD271" s="57"/>
      <c r="AE271" s="57"/>
      <c r="AF271" s="57"/>
      <c r="AG271" s="57"/>
      <c r="AH271" s="57"/>
      <c r="AI271" s="57"/>
      <c r="AJ271" s="57"/>
    </row>
    <row r="272" spans="1:36" x14ac:dyDescent="0.25">
      <c r="A272" s="57"/>
      <c r="B272" s="57"/>
      <c r="C272" s="57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  <c r="O272" s="57"/>
      <c r="P272" s="57"/>
      <c r="Q272" s="57"/>
      <c r="R272" s="57"/>
      <c r="S272" s="57"/>
      <c r="T272" s="57"/>
      <c r="U272" s="57"/>
      <c r="V272" s="57"/>
      <c r="W272" s="57"/>
      <c r="X272" s="57"/>
      <c r="Y272" s="57"/>
      <c r="Z272" s="57"/>
      <c r="AA272" s="57"/>
      <c r="AB272" s="57"/>
      <c r="AC272" s="57"/>
      <c r="AD272" s="57"/>
      <c r="AE272" s="57"/>
      <c r="AF272" s="57"/>
      <c r="AG272" s="57"/>
      <c r="AH272" s="57"/>
      <c r="AI272" s="57"/>
      <c r="AJ272" s="57"/>
    </row>
    <row r="273" spans="1:36" x14ac:dyDescent="0.25">
      <c r="A273" s="57"/>
      <c r="B273" s="57"/>
      <c r="C273" s="57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  <c r="O273" s="57"/>
      <c r="P273" s="57"/>
      <c r="Q273" s="57"/>
      <c r="R273" s="57"/>
      <c r="S273" s="57"/>
      <c r="T273" s="57"/>
      <c r="U273" s="57"/>
      <c r="V273" s="57"/>
      <c r="W273" s="57"/>
      <c r="X273" s="57"/>
      <c r="Y273" s="57"/>
      <c r="Z273" s="57"/>
      <c r="AA273" s="57"/>
      <c r="AB273" s="57"/>
      <c r="AC273" s="57"/>
      <c r="AD273" s="57"/>
      <c r="AE273" s="57"/>
      <c r="AF273" s="57"/>
      <c r="AG273" s="57"/>
      <c r="AH273" s="57"/>
      <c r="AI273" s="57"/>
      <c r="AJ273" s="57"/>
    </row>
    <row r="274" spans="1:36" x14ac:dyDescent="0.25">
      <c r="A274" s="57"/>
      <c r="B274" s="57"/>
      <c r="C274" s="57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  <c r="O274" s="57"/>
      <c r="P274" s="57"/>
      <c r="Q274" s="57"/>
      <c r="R274" s="57"/>
      <c r="S274" s="57"/>
      <c r="T274" s="57"/>
      <c r="U274" s="57"/>
      <c r="V274" s="57"/>
      <c r="W274" s="57"/>
      <c r="X274" s="57"/>
      <c r="Y274" s="57"/>
      <c r="Z274" s="57"/>
      <c r="AA274" s="57"/>
      <c r="AB274" s="57"/>
      <c r="AC274" s="57"/>
      <c r="AD274" s="57"/>
      <c r="AE274" s="57"/>
      <c r="AF274" s="57"/>
      <c r="AG274" s="57"/>
      <c r="AH274" s="57"/>
      <c r="AI274" s="57"/>
      <c r="AJ274" s="57"/>
    </row>
    <row r="275" spans="1:36" x14ac:dyDescent="0.25">
      <c r="A275" s="57"/>
      <c r="B275" s="57"/>
      <c r="C275" s="57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  <c r="O275" s="57"/>
      <c r="P275" s="57"/>
      <c r="Q275" s="57"/>
      <c r="R275" s="57"/>
      <c r="S275" s="57"/>
      <c r="T275" s="57"/>
      <c r="U275" s="57"/>
      <c r="V275" s="57"/>
      <c r="W275" s="57"/>
      <c r="X275" s="57"/>
      <c r="Y275" s="57"/>
      <c r="Z275" s="57"/>
      <c r="AA275" s="57"/>
      <c r="AB275" s="57"/>
      <c r="AC275" s="57"/>
      <c r="AD275" s="57"/>
      <c r="AE275" s="57"/>
      <c r="AF275" s="57"/>
      <c r="AG275" s="57"/>
      <c r="AH275" s="57"/>
      <c r="AI275" s="57"/>
      <c r="AJ275" s="57"/>
    </row>
    <row r="276" spans="1:36" x14ac:dyDescent="0.25">
      <c r="A276" s="57"/>
      <c r="B276" s="57"/>
      <c r="C276" s="57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  <c r="O276" s="57"/>
      <c r="P276" s="57"/>
      <c r="Q276" s="57"/>
      <c r="R276" s="57"/>
      <c r="S276" s="57"/>
      <c r="T276" s="57"/>
      <c r="U276" s="57"/>
      <c r="V276" s="57"/>
      <c r="W276" s="57"/>
      <c r="X276" s="57"/>
      <c r="Y276" s="57"/>
      <c r="Z276" s="57"/>
      <c r="AA276" s="57"/>
      <c r="AB276" s="57"/>
      <c r="AC276" s="57"/>
      <c r="AD276" s="57"/>
      <c r="AE276" s="57"/>
      <c r="AF276" s="57"/>
      <c r="AG276" s="57"/>
      <c r="AH276" s="57"/>
      <c r="AI276" s="57"/>
      <c r="AJ276" s="57"/>
    </row>
    <row r="277" spans="1:36" x14ac:dyDescent="0.25">
      <c r="A277" s="57"/>
      <c r="B277" s="57"/>
      <c r="C277" s="57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  <c r="O277" s="57"/>
      <c r="P277" s="57"/>
      <c r="Q277" s="57"/>
      <c r="R277" s="57"/>
      <c r="S277" s="57"/>
      <c r="T277" s="57"/>
      <c r="U277" s="57"/>
      <c r="V277" s="57"/>
      <c r="W277" s="57"/>
      <c r="X277" s="57"/>
      <c r="Y277" s="57"/>
      <c r="Z277" s="57"/>
      <c r="AA277" s="57"/>
      <c r="AB277" s="57"/>
      <c r="AC277" s="57"/>
      <c r="AD277" s="57"/>
      <c r="AE277" s="57"/>
      <c r="AF277" s="57"/>
      <c r="AG277" s="57"/>
      <c r="AH277" s="57"/>
      <c r="AI277" s="57"/>
      <c r="AJ277" s="57"/>
    </row>
    <row r="278" spans="1:36" x14ac:dyDescent="0.25">
      <c r="A278" s="57"/>
      <c r="B278" s="57"/>
      <c r="C278" s="57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  <c r="O278" s="57"/>
      <c r="P278" s="57"/>
      <c r="Q278" s="57"/>
      <c r="R278" s="57"/>
      <c r="S278" s="57"/>
      <c r="T278" s="57"/>
      <c r="U278" s="57"/>
      <c r="V278" s="57"/>
      <c r="W278" s="57"/>
      <c r="X278" s="57"/>
      <c r="Y278" s="57"/>
      <c r="Z278" s="57"/>
      <c r="AA278" s="57"/>
      <c r="AB278" s="57"/>
      <c r="AC278" s="57"/>
      <c r="AD278" s="57"/>
      <c r="AE278" s="57"/>
      <c r="AF278" s="57"/>
      <c r="AG278" s="57"/>
      <c r="AH278" s="57"/>
      <c r="AI278" s="57"/>
      <c r="AJ278" s="57"/>
    </row>
    <row r="279" spans="1:36" x14ac:dyDescent="0.25">
      <c r="A279" s="57"/>
      <c r="B279" s="57"/>
      <c r="C279" s="57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  <c r="O279" s="57"/>
      <c r="P279" s="57"/>
      <c r="Q279" s="57"/>
      <c r="R279" s="57"/>
      <c r="S279" s="57"/>
      <c r="T279" s="57"/>
      <c r="U279" s="57"/>
      <c r="V279" s="57"/>
      <c r="W279" s="57"/>
      <c r="X279" s="57"/>
      <c r="Y279" s="57"/>
      <c r="Z279" s="57"/>
      <c r="AA279" s="57"/>
      <c r="AB279" s="57"/>
      <c r="AC279" s="57"/>
      <c r="AD279" s="57"/>
      <c r="AE279" s="57"/>
      <c r="AF279" s="57"/>
      <c r="AG279" s="57"/>
      <c r="AH279" s="57"/>
      <c r="AI279" s="57"/>
      <c r="AJ279" s="57"/>
    </row>
    <row r="280" spans="1:36" x14ac:dyDescent="0.25">
      <c r="A280" s="57"/>
      <c r="B280" s="57"/>
      <c r="C280" s="57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  <c r="O280" s="57"/>
      <c r="P280" s="57"/>
      <c r="Q280" s="57"/>
      <c r="R280" s="57"/>
      <c r="S280" s="57"/>
      <c r="T280" s="57"/>
      <c r="U280" s="57"/>
      <c r="V280" s="57"/>
      <c r="W280" s="57"/>
      <c r="X280" s="57"/>
      <c r="Y280" s="57"/>
      <c r="Z280" s="57"/>
      <c r="AA280" s="57"/>
      <c r="AB280" s="57"/>
      <c r="AC280" s="57"/>
      <c r="AD280" s="57"/>
      <c r="AE280" s="57"/>
      <c r="AF280" s="57"/>
      <c r="AG280" s="57"/>
      <c r="AH280" s="57"/>
      <c r="AI280" s="57"/>
      <c r="AJ280" s="57"/>
    </row>
    <row r="281" spans="1:36" x14ac:dyDescent="0.25">
      <c r="A281" s="57"/>
      <c r="B281" s="57"/>
      <c r="C281" s="57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  <c r="O281" s="57"/>
      <c r="P281" s="57"/>
      <c r="Q281" s="57"/>
      <c r="R281" s="57"/>
      <c r="S281" s="57"/>
      <c r="T281" s="57"/>
      <c r="U281" s="57"/>
      <c r="V281" s="57"/>
      <c r="W281" s="57"/>
      <c r="X281" s="57"/>
      <c r="Y281" s="57"/>
      <c r="Z281" s="57"/>
      <c r="AA281" s="57"/>
      <c r="AB281" s="57"/>
      <c r="AC281" s="57"/>
      <c r="AD281" s="57"/>
      <c r="AE281" s="57"/>
      <c r="AF281" s="57"/>
      <c r="AG281" s="57"/>
      <c r="AH281" s="57"/>
      <c r="AI281" s="57"/>
      <c r="AJ281" s="57"/>
    </row>
    <row r="282" spans="1:36" x14ac:dyDescent="0.25">
      <c r="A282" s="57"/>
      <c r="B282" s="57"/>
      <c r="C282" s="57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  <c r="O282" s="57"/>
      <c r="P282" s="57"/>
      <c r="Q282" s="57"/>
      <c r="R282" s="57"/>
      <c r="S282" s="57"/>
      <c r="T282" s="57"/>
      <c r="U282" s="57"/>
      <c r="V282" s="57"/>
      <c r="W282" s="57"/>
      <c r="X282" s="57"/>
      <c r="Y282" s="57"/>
      <c r="Z282" s="57"/>
      <c r="AA282" s="57"/>
      <c r="AB282" s="57"/>
      <c r="AC282" s="57"/>
      <c r="AD282" s="57"/>
      <c r="AE282" s="57"/>
      <c r="AF282" s="57"/>
      <c r="AG282" s="57"/>
      <c r="AH282" s="57"/>
      <c r="AI282" s="57"/>
      <c r="AJ282" s="57"/>
    </row>
    <row r="283" spans="1:36" x14ac:dyDescent="0.25">
      <c r="A283" s="57"/>
      <c r="B283" s="57"/>
      <c r="C283" s="57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  <c r="O283" s="57"/>
      <c r="P283" s="57"/>
      <c r="Q283" s="57"/>
      <c r="R283" s="57"/>
      <c r="S283" s="57"/>
      <c r="T283" s="57"/>
      <c r="U283" s="57"/>
      <c r="V283" s="57"/>
      <c r="W283" s="57"/>
      <c r="X283" s="57"/>
      <c r="Y283" s="57"/>
      <c r="Z283" s="57"/>
      <c r="AA283" s="57"/>
      <c r="AB283" s="57"/>
      <c r="AC283" s="57"/>
      <c r="AD283" s="57"/>
      <c r="AE283" s="57"/>
      <c r="AF283" s="57"/>
      <c r="AG283" s="57"/>
      <c r="AH283" s="57"/>
      <c r="AI283" s="57"/>
      <c r="AJ283" s="57"/>
    </row>
    <row r="284" spans="1:36" x14ac:dyDescent="0.25">
      <c r="A284" s="57"/>
      <c r="B284" s="57"/>
      <c r="C284" s="57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  <c r="O284" s="57"/>
      <c r="P284" s="57"/>
      <c r="Q284" s="57"/>
      <c r="R284" s="57"/>
      <c r="S284" s="57"/>
      <c r="T284" s="57"/>
      <c r="U284" s="57"/>
      <c r="V284" s="57"/>
      <c r="W284" s="57"/>
      <c r="X284" s="57"/>
      <c r="Y284" s="57"/>
      <c r="Z284" s="57"/>
      <c r="AA284" s="57"/>
      <c r="AB284" s="57"/>
      <c r="AC284" s="57"/>
      <c r="AD284" s="57"/>
      <c r="AE284" s="57"/>
      <c r="AF284" s="57"/>
      <c r="AG284" s="57"/>
      <c r="AH284" s="57"/>
      <c r="AI284" s="57"/>
      <c r="AJ284" s="57"/>
    </row>
    <row r="285" spans="1:36" x14ac:dyDescent="0.25">
      <c r="A285" s="57"/>
      <c r="B285" s="57"/>
      <c r="C285" s="57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  <c r="O285" s="57"/>
      <c r="P285" s="57"/>
      <c r="Q285" s="57"/>
      <c r="R285" s="57"/>
      <c r="S285" s="57"/>
      <c r="T285" s="57"/>
      <c r="U285" s="57"/>
      <c r="V285" s="57"/>
      <c r="W285" s="57"/>
      <c r="X285" s="57"/>
      <c r="Y285" s="57"/>
      <c r="Z285" s="57"/>
      <c r="AA285" s="57"/>
      <c r="AB285" s="57"/>
      <c r="AC285" s="57"/>
      <c r="AD285" s="57"/>
      <c r="AE285" s="57"/>
      <c r="AF285" s="57"/>
      <c r="AG285" s="57"/>
      <c r="AH285" s="57"/>
      <c r="AI285" s="57"/>
      <c r="AJ285" s="57"/>
    </row>
    <row r="286" spans="1:36" x14ac:dyDescent="0.25">
      <c r="A286" s="57"/>
      <c r="B286" s="57"/>
      <c r="C286" s="57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  <c r="O286" s="57"/>
      <c r="P286" s="57"/>
      <c r="Q286" s="57"/>
      <c r="R286" s="57"/>
      <c r="S286" s="57"/>
      <c r="T286" s="57"/>
      <c r="U286" s="57"/>
      <c r="V286" s="57"/>
      <c r="W286" s="57"/>
      <c r="X286" s="57"/>
      <c r="Y286" s="57"/>
      <c r="Z286" s="57"/>
      <c r="AA286" s="57"/>
      <c r="AB286" s="57"/>
      <c r="AC286" s="57"/>
      <c r="AD286" s="57"/>
      <c r="AE286" s="57"/>
      <c r="AF286" s="57"/>
      <c r="AG286" s="57"/>
      <c r="AH286" s="57"/>
      <c r="AI286" s="57"/>
      <c r="AJ286" s="57"/>
    </row>
    <row r="287" spans="1:36" x14ac:dyDescent="0.25">
      <c r="A287" s="57"/>
      <c r="B287" s="57"/>
      <c r="C287" s="57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  <c r="O287" s="57"/>
      <c r="P287" s="57"/>
      <c r="Q287" s="57"/>
      <c r="R287" s="57"/>
      <c r="S287" s="57"/>
      <c r="T287" s="57"/>
      <c r="U287" s="57"/>
      <c r="V287" s="57"/>
      <c r="W287" s="57"/>
      <c r="X287" s="57"/>
      <c r="Y287" s="57"/>
      <c r="Z287" s="57"/>
      <c r="AA287" s="57"/>
      <c r="AB287" s="57"/>
      <c r="AC287" s="57"/>
      <c r="AD287" s="57"/>
      <c r="AE287" s="57"/>
      <c r="AF287" s="57"/>
      <c r="AG287" s="57"/>
      <c r="AH287" s="57"/>
      <c r="AI287" s="57"/>
      <c r="AJ287" s="57"/>
    </row>
    <row r="288" spans="1:36" x14ac:dyDescent="0.25">
      <c r="A288" s="57"/>
      <c r="B288" s="57"/>
      <c r="C288" s="57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  <c r="O288" s="57"/>
      <c r="P288" s="57"/>
      <c r="Q288" s="57"/>
      <c r="R288" s="57"/>
      <c r="S288" s="57"/>
      <c r="T288" s="57"/>
      <c r="U288" s="57"/>
      <c r="V288" s="57"/>
      <c r="W288" s="57"/>
      <c r="X288" s="57"/>
      <c r="Y288" s="57"/>
      <c r="Z288" s="57"/>
      <c r="AA288" s="57"/>
      <c r="AB288" s="57"/>
      <c r="AC288" s="57"/>
      <c r="AD288" s="57"/>
      <c r="AE288" s="57"/>
      <c r="AF288" s="57"/>
      <c r="AG288" s="57"/>
      <c r="AH288" s="57"/>
      <c r="AI288" s="57"/>
      <c r="AJ288" s="57"/>
    </row>
    <row r="289" spans="1:36" x14ac:dyDescent="0.25">
      <c r="A289" s="57"/>
      <c r="B289" s="57"/>
      <c r="C289" s="57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  <c r="O289" s="57"/>
      <c r="P289" s="57"/>
      <c r="Q289" s="57"/>
      <c r="R289" s="57"/>
      <c r="S289" s="57"/>
      <c r="T289" s="57"/>
      <c r="U289" s="57"/>
      <c r="V289" s="57"/>
      <c r="W289" s="57"/>
      <c r="X289" s="57"/>
      <c r="Y289" s="57"/>
      <c r="Z289" s="57"/>
      <c r="AA289" s="57"/>
      <c r="AB289" s="57"/>
      <c r="AC289" s="57"/>
      <c r="AD289" s="57"/>
      <c r="AE289" s="57"/>
      <c r="AF289" s="57"/>
      <c r="AG289" s="57"/>
      <c r="AH289" s="57"/>
      <c r="AI289" s="57"/>
      <c r="AJ289" s="57"/>
    </row>
    <row r="290" spans="1:36" x14ac:dyDescent="0.25">
      <c r="A290" s="57"/>
      <c r="B290" s="57"/>
      <c r="C290" s="57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  <c r="O290" s="57"/>
      <c r="P290" s="57"/>
      <c r="Q290" s="57"/>
      <c r="R290" s="57"/>
      <c r="S290" s="57"/>
      <c r="T290" s="57"/>
      <c r="U290" s="57"/>
      <c r="V290" s="57"/>
      <c r="W290" s="57"/>
      <c r="X290" s="57"/>
      <c r="Y290" s="57"/>
      <c r="Z290" s="57"/>
      <c r="AA290" s="57"/>
      <c r="AB290" s="57"/>
      <c r="AC290" s="57"/>
      <c r="AD290" s="57"/>
      <c r="AE290" s="57"/>
      <c r="AF290" s="57"/>
      <c r="AG290" s="57"/>
      <c r="AH290" s="57"/>
      <c r="AI290" s="57"/>
      <c r="AJ290" s="57"/>
    </row>
    <row r="291" spans="1:36" x14ac:dyDescent="0.25">
      <c r="A291" s="57"/>
      <c r="B291" s="57"/>
      <c r="C291" s="57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  <c r="O291" s="57"/>
      <c r="P291" s="57"/>
      <c r="Q291" s="57"/>
      <c r="R291" s="57"/>
      <c r="S291" s="57"/>
      <c r="T291" s="57"/>
      <c r="U291" s="57"/>
      <c r="V291" s="57"/>
      <c r="W291" s="57"/>
      <c r="X291" s="57"/>
      <c r="Y291" s="57"/>
      <c r="Z291" s="57"/>
      <c r="AA291" s="57"/>
      <c r="AB291" s="57"/>
      <c r="AC291" s="57"/>
      <c r="AD291" s="57"/>
      <c r="AE291" s="57"/>
      <c r="AF291" s="57"/>
      <c r="AG291" s="57"/>
      <c r="AH291" s="57"/>
      <c r="AI291" s="57"/>
      <c r="AJ291" s="57"/>
    </row>
    <row r="292" spans="1:36" x14ac:dyDescent="0.25">
      <c r="A292" s="57"/>
      <c r="B292" s="57"/>
      <c r="C292" s="57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  <c r="O292" s="57"/>
      <c r="P292" s="57"/>
      <c r="Q292" s="57"/>
      <c r="R292" s="57"/>
      <c r="S292" s="57"/>
      <c r="T292" s="57"/>
      <c r="U292" s="57"/>
      <c r="V292" s="57"/>
      <c r="W292" s="57"/>
      <c r="X292" s="57"/>
      <c r="Y292" s="57"/>
      <c r="Z292" s="57"/>
      <c r="AA292" s="57"/>
      <c r="AB292" s="57"/>
      <c r="AC292" s="57"/>
      <c r="AD292" s="57"/>
      <c r="AE292" s="57"/>
      <c r="AF292" s="57"/>
      <c r="AG292" s="57"/>
      <c r="AH292" s="57"/>
      <c r="AI292" s="57"/>
      <c r="AJ292" s="57"/>
    </row>
    <row r="293" spans="1:36" x14ac:dyDescent="0.25">
      <c r="A293" s="57"/>
      <c r="B293" s="57"/>
      <c r="C293" s="57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  <c r="O293" s="57"/>
      <c r="P293" s="57"/>
      <c r="Q293" s="57"/>
      <c r="R293" s="57"/>
      <c r="S293" s="57"/>
      <c r="T293" s="57"/>
      <c r="U293" s="57"/>
      <c r="V293" s="57"/>
      <c r="W293" s="57"/>
      <c r="X293" s="57"/>
      <c r="Y293" s="57"/>
      <c r="Z293" s="57"/>
      <c r="AA293" s="57"/>
      <c r="AB293" s="57"/>
      <c r="AC293" s="57"/>
      <c r="AD293" s="57"/>
      <c r="AE293" s="57"/>
      <c r="AF293" s="57"/>
      <c r="AG293" s="57"/>
      <c r="AH293" s="57"/>
      <c r="AI293" s="57"/>
      <c r="AJ293" s="57"/>
    </row>
    <row r="294" spans="1:36" x14ac:dyDescent="0.25">
      <c r="A294" s="57"/>
      <c r="B294" s="57"/>
      <c r="C294" s="57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  <c r="O294" s="57"/>
      <c r="P294" s="57"/>
      <c r="Q294" s="57"/>
      <c r="R294" s="57"/>
      <c r="S294" s="57"/>
      <c r="T294" s="57"/>
      <c r="U294" s="57"/>
      <c r="V294" s="57"/>
      <c r="W294" s="57"/>
      <c r="X294" s="57"/>
      <c r="Y294" s="57"/>
      <c r="Z294" s="57"/>
      <c r="AA294" s="57"/>
      <c r="AB294" s="57"/>
      <c r="AC294" s="57"/>
      <c r="AD294" s="57"/>
      <c r="AE294" s="57"/>
      <c r="AF294" s="57"/>
      <c r="AG294" s="57"/>
      <c r="AH294" s="57"/>
      <c r="AI294" s="57"/>
      <c r="AJ294" s="57"/>
    </row>
    <row r="295" spans="1:36" x14ac:dyDescent="0.25">
      <c r="A295" s="57"/>
      <c r="B295" s="57"/>
      <c r="C295" s="57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  <c r="O295" s="57"/>
      <c r="P295" s="57"/>
      <c r="Q295" s="57"/>
      <c r="R295" s="57"/>
      <c r="S295" s="57"/>
      <c r="T295" s="57"/>
      <c r="U295" s="57"/>
      <c r="V295" s="57"/>
      <c r="W295" s="57"/>
      <c r="X295" s="57"/>
      <c r="Y295" s="57"/>
      <c r="Z295" s="57"/>
      <c r="AA295" s="57"/>
      <c r="AB295" s="57"/>
      <c r="AC295" s="57"/>
      <c r="AD295" s="57"/>
      <c r="AE295" s="57"/>
      <c r="AF295" s="57"/>
      <c r="AG295" s="57"/>
      <c r="AH295" s="57"/>
      <c r="AI295" s="57"/>
      <c r="AJ295" s="57"/>
    </row>
    <row r="296" spans="1:36" x14ac:dyDescent="0.25">
      <c r="A296" s="57"/>
      <c r="B296" s="57"/>
      <c r="C296" s="57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  <c r="O296" s="57"/>
      <c r="P296" s="57"/>
      <c r="Q296" s="57"/>
      <c r="R296" s="57"/>
      <c r="S296" s="57"/>
      <c r="T296" s="57"/>
      <c r="U296" s="57"/>
      <c r="V296" s="57"/>
      <c r="W296" s="57"/>
      <c r="X296" s="57"/>
      <c r="Y296" s="57"/>
      <c r="Z296" s="57"/>
      <c r="AA296" s="57"/>
      <c r="AB296" s="57"/>
      <c r="AC296" s="57"/>
      <c r="AD296" s="57"/>
      <c r="AE296" s="57"/>
      <c r="AF296" s="57"/>
      <c r="AG296" s="57"/>
      <c r="AH296" s="57"/>
      <c r="AI296" s="57"/>
      <c r="AJ296" s="57"/>
    </row>
    <row r="297" spans="1:36" x14ac:dyDescent="0.25">
      <c r="A297" s="57"/>
      <c r="B297" s="57"/>
      <c r="C297" s="57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  <c r="O297" s="57"/>
      <c r="P297" s="57"/>
      <c r="Q297" s="57"/>
      <c r="R297" s="57"/>
      <c r="S297" s="57"/>
      <c r="T297" s="57"/>
      <c r="U297" s="57"/>
      <c r="V297" s="57"/>
      <c r="W297" s="57"/>
      <c r="X297" s="57"/>
      <c r="Y297" s="57"/>
      <c r="Z297" s="57"/>
      <c r="AA297" s="57"/>
      <c r="AB297" s="57"/>
      <c r="AC297" s="57"/>
      <c r="AD297" s="57"/>
      <c r="AE297" s="57"/>
      <c r="AF297" s="57"/>
      <c r="AG297" s="57"/>
      <c r="AH297" s="57"/>
      <c r="AI297" s="57"/>
      <c r="AJ297" s="57"/>
    </row>
    <row r="298" spans="1:36" x14ac:dyDescent="0.25">
      <c r="A298" s="57"/>
      <c r="B298" s="57"/>
      <c r="C298" s="57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  <c r="O298" s="57"/>
      <c r="P298" s="57"/>
      <c r="Q298" s="57"/>
      <c r="R298" s="57"/>
      <c r="S298" s="57"/>
      <c r="T298" s="57"/>
      <c r="U298" s="57"/>
      <c r="V298" s="57"/>
      <c r="W298" s="57"/>
      <c r="X298" s="57"/>
      <c r="Y298" s="57"/>
      <c r="Z298" s="57"/>
      <c r="AA298" s="57"/>
      <c r="AB298" s="57"/>
      <c r="AC298" s="57"/>
      <c r="AD298" s="57"/>
      <c r="AE298" s="57"/>
      <c r="AF298" s="57"/>
      <c r="AG298" s="57"/>
      <c r="AH298" s="57"/>
      <c r="AI298" s="57"/>
      <c r="AJ298" s="57"/>
    </row>
    <row r="299" spans="1:36" x14ac:dyDescent="0.25">
      <c r="A299" s="57"/>
      <c r="B299" s="57"/>
      <c r="C299" s="57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  <c r="O299" s="57"/>
      <c r="P299" s="57"/>
      <c r="Q299" s="57"/>
      <c r="R299" s="57"/>
      <c r="S299" s="57"/>
      <c r="T299" s="57"/>
      <c r="U299" s="57"/>
      <c r="V299" s="57"/>
      <c r="W299" s="57"/>
      <c r="X299" s="57"/>
      <c r="Y299" s="57"/>
      <c r="Z299" s="57"/>
      <c r="AA299" s="57"/>
      <c r="AB299" s="57"/>
      <c r="AC299" s="57"/>
      <c r="AD299" s="57"/>
      <c r="AE299" s="57"/>
      <c r="AF299" s="57"/>
      <c r="AG299" s="57"/>
      <c r="AH299" s="57"/>
      <c r="AI299" s="57"/>
      <c r="AJ299" s="57"/>
    </row>
    <row r="300" spans="1:36" x14ac:dyDescent="0.25">
      <c r="A300" s="57"/>
      <c r="B300" s="57"/>
      <c r="C300" s="57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  <c r="O300" s="57"/>
      <c r="P300" s="57"/>
      <c r="Q300" s="57"/>
      <c r="R300" s="57"/>
      <c r="S300" s="57"/>
      <c r="T300" s="57"/>
      <c r="U300" s="57"/>
      <c r="V300" s="57"/>
      <c r="W300" s="57"/>
      <c r="X300" s="57"/>
      <c r="Y300" s="57"/>
      <c r="Z300" s="57"/>
      <c r="AA300" s="57"/>
      <c r="AB300" s="57"/>
      <c r="AC300" s="57"/>
      <c r="AD300" s="57"/>
      <c r="AE300" s="57"/>
      <c r="AF300" s="57"/>
      <c r="AG300" s="57"/>
      <c r="AH300" s="57"/>
      <c r="AI300" s="57"/>
      <c r="AJ300" s="57"/>
    </row>
    <row r="301" spans="1:36" x14ac:dyDescent="0.25">
      <c r="A301" s="57"/>
      <c r="B301" s="57"/>
      <c r="C301" s="57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  <c r="O301" s="57"/>
      <c r="P301" s="57"/>
      <c r="Q301" s="57"/>
      <c r="R301" s="57"/>
      <c r="S301" s="57"/>
      <c r="T301" s="57"/>
      <c r="U301" s="57"/>
      <c r="V301" s="57"/>
      <c r="W301" s="57"/>
      <c r="X301" s="57"/>
      <c r="Y301" s="57"/>
      <c r="Z301" s="57"/>
      <c r="AA301" s="57"/>
      <c r="AB301" s="57"/>
      <c r="AC301" s="57"/>
      <c r="AD301" s="57"/>
      <c r="AE301" s="57"/>
      <c r="AF301" s="57"/>
      <c r="AG301" s="57"/>
      <c r="AH301" s="57"/>
      <c r="AI301" s="57"/>
      <c r="AJ301" s="57"/>
    </row>
    <row r="302" spans="1:36" x14ac:dyDescent="0.25">
      <c r="A302" s="57"/>
      <c r="B302" s="57"/>
      <c r="C302" s="57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  <c r="O302" s="57"/>
      <c r="P302" s="57"/>
      <c r="Q302" s="57"/>
      <c r="R302" s="57"/>
      <c r="S302" s="57"/>
      <c r="T302" s="57"/>
      <c r="U302" s="57"/>
      <c r="V302" s="57"/>
      <c r="W302" s="57"/>
      <c r="X302" s="57"/>
      <c r="Y302" s="57"/>
      <c r="Z302" s="57"/>
      <c r="AA302" s="57"/>
      <c r="AB302" s="57"/>
      <c r="AC302" s="57"/>
      <c r="AD302" s="57"/>
      <c r="AE302" s="57"/>
      <c r="AF302" s="57"/>
      <c r="AG302" s="57"/>
      <c r="AH302" s="57"/>
      <c r="AI302" s="57"/>
      <c r="AJ302" s="57"/>
    </row>
    <row r="303" spans="1:36" x14ac:dyDescent="0.25">
      <c r="A303" s="57"/>
      <c r="B303" s="57"/>
      <c r="C303" s="57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  <c r="O303" s="57"/>
      <c r="P303" s="57"/>
      <c r="Q303" s="57"/>
      <c r="R303" s="57"/>
      <c r="S303" s="57"/>
      <c r="T303" s="57"/>
      <c r="U303" s="57"/>
      <c r="V303" s="57"/>
      <c r="W303" s="57"/>
      <c r="X303" s="57"/>
      <c r="Y303" s="57"/>
      <c r="Z303" s="57"/>
      <c r="AA303" s="57"/>
      <c r="AB303" s="57"/>
      <c r="AC303" s="57"/>
      <c r="AD303" s="57"/>
      <c r="AE303" s="57"/>
      <c r="AF303" s="57"/>
      <c r="AG303" s="57"/>
      <c r="AH303" s="57"/>
      <c r="AI303" s="57"/>
      <c r="AJ303" s="57"/>
    </row>
    <row r="304" spans="1:36" x14ac:dyDescent="0.25">
      <c r="A304" s="57"/>
      <c r="B304" s="57"/>
      <c r="C304" s="57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  <c r="O304" s="57"/>
      <c r="P304" s="57"/>
      <c r="Q304" s="57"/>
      <c r="R304" s="57"/>
      <c r="S304" s="57"/>
      <c r="T304" s="57"/>
      <c r="U304" s="57"/>
      <c r="V304" s="57"/>
      <c r="W304" s="57"/>
      <c r="X304" s="57"/>
      <c r="Y304" s="57"/>
      <c r="Z304" s="57"/>
      <c r="AA304" s="57"/>
      <c r="AB304" s="57"/>
      <c r="AC304" s="57"/>
      <c r="AD304" s="57"/>
      <c r="AE304" s="57"/>
      <c r="AF304" s="57"/>
      <c r="AG304" s="57"/>
      <c r="AH304" s="57"/>
      <c r="AI304" s="57"/>
      <c r="AJ304" s="57"/>
    </row>
    <row r="305" spans="1:36" x14ac:dyDescent="0.25">
      <c r="A305" s="57"/>
      <c r="B305" s="57"/>
      <c r="C305" s="57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  <c r="O305" s="57"/>
      <c r="P305" s="57"/>
      <c r="Q305" s="57"/>
      <c r="R305" s="57"/>
      <c r="S305" s="57"/>
      <c r="T305" s="57"/>
      <c r="U305" s="57"/>
      <c r="V305" s="57"/>
      <c r="W305" s="57"/>
      <c r="X305" s="57"/>
      <c r="Y305" s="57"/>
      <c r="Z305" s="57"/>
      <c r="AA305" s="57"/>
      <c r="AB305" s="57"/>
      <c r="AC305" s="57"/>
      <c r="AD305" s="57"/>
      <c r="AE305" s="57"/>
      <c r="AF305" s="57"/>
      <c r="AG305" s="57"/>
      <c r="AH305" s="57"/>
      <c r="AI305" s="57"/>
      <c r="AJ305" s="57"/>
    </row>
    <row r="306" spans="1:36" x14ac:dyDescent="0.25">
      <c r="A306" s="57"/>
      <c r="B306" s="57"/>
      <c r="C306" s="57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  <c r="O306" s="57"/>
      <c r="P306" s="57"/>
      <c r="Q306" s="57"/>
      <c r="R306" s="57"/>
      <c r="S306" s="57"/>
      <c r="T306" s="57"/>
      <c r="U306" s="57"/>
      <c r="V306" s="57"/>
      <c r="W306" s="57"/>
      <c r="X306" s="57"/>
      <c r="Y306" s="57"/>
      <c r="Z306" s="57"/>
      <c r="AA306" s="57"/>
      <c r="AB306" s="57"/>
      <c r="AC306" s="57"/>
      <c r="AD306" s="57"/>
      <c r="AE306" s="57"/>
      <c r="AF306" s="57"/>
      <c r="AG306" s="57"/>
      <c r="AH306" s="57"/>
      <c r="AI306" s="57"/>
      <c r="AJ306" s="57"/>
    </row>
    <row r="307" spans="1:36" x14ac:dyDescent="0.25">
      <c r="A307" s="57"/>
      <c r="B307" s="57"/>
      <c r="C307" s="57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  <c r="O307" s="57"/>
      <c r="P307" s="57"/>
      <c r="Q307" s="57"/>
      <c r="R307" s="57"/>
      <c r="S307" s="57"/>
      <c r="T307" s="57"/>
      <c r="U307" s="57"/>
      <c r="V307" s="57"/>
      <c r="W307" s="57"/>
      <c r="X307" s="57"/>
      <c r="Y307" s="57"/>
      <c r="Z307" s="57"/>
      <c r="AA307" s="57"/>
      <c r="AB307" s="57"/>
      <c r="AC307" s="57"/>
      <c r="AD307" s="57"/>
      <c r="AE307" s="57"/>
      <c r="AF307" s="57"/>
      <c r="AG307" s="57"/>
      <c r="AH307" s="57"/>
      <c r="AI307" s="57"/>
      <c r="AJ307" s="57"/>
    </row>
    <row r="308" spans="1:36" x14ac:dyDescent="0.25">
      <c r="A308" s="57"/>
      <c r="B308" s="57"/>
      <c r="C308" s="57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  <c r="O308" s="57"/>
      <c r="P308" s="57"/>
      <c r="Q308" s="57"/>
      <c r="R308" s="57"/>
      <c r="S308" s="57"/>
      <c r="T308" s="57"/>
      <c r="U308" s="57"/>
      <c r="V308" s="57"/>
      <c r="W308" s="57"/>
      <c r="X308" s="57"/>
      <c r="Y308" s="57"/>
      <c r="Z308" s="57"/>
      <c r="AA308" s="57"/>
      <c r="AB308" s="57"/>
      <c r="AC308" s="57"/>
      <c r="AD308" s="57"/>
      <c r="AE308" s="57"/>
      <c r="AF308" s="57"/>
      <c r="AG308" s="57"/>
      <c r="AH308" s="57"/>
      <c r="AI308" s="57"/>
      <c r="AJ308" s="57"/>
    </row>
    <row r="309" spans="1:36" x14ac:dyDescent="0.25">
      <c r="A309" s="57"/>
      <c r="B309" s="57"/>
      <c r="C309" s="57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  <c r="O309" s="57"/>
      <c r="P309" s="57"/>
      <c r="Q309" s="57"/>
      <c r="R309" s="57"/>
      <c r="S309" s="57"/>
      <c r="T309" s="57"/>
      <c r="U309" s="57"/>
      <c r="V309" s="57"/>
      <c r="W309" s="57"/>
      <c r="X309" s="57"/>
      <c r="Y309" s="57"/>
      <c r="Z309" s="57"/>
      <c r="AA309" s="57"/>
      <c r="AB309" s="57"/>
      <c r="AC309" s="57"/>
      <c r="AD309" s="57"/>
      <c r="AE309" s="57"/>
      <c r="AF309" s="57"/>
      <c r="AG309" s="57"/>
      <c r="AH309" s="57"/>
      <c r="AI309" s="57"/>
      <c r="AJ309" s="57"/>
    </row>
    <row r="310" spans="1:36" x14ac:dyDescent="0.25">
      <c r="A310" s="57"/>
      <c r="B310" s="57"/>
      <c r="C310" s="57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  <c r="O310" s="57"/>
      <c r="P310" s="57"/>
      <c r="Q310" s="57"/>
      <c r="R310" s="57"/>
      <c r="S310" s="57"/>
      <c r="T310" s="57"/>
      <c r="U310" s="57"/>
      <c r="V310" s="57"/>
      <c r="W310" s="57"/>
      <c r="X310" s="57"/>
      <c r="Y310" s="57"/>
      <c r="Z310" s="57"/>
      <c r="AA310" s="57"/>
      <c r="AB310" s="57"/>
      <c r="AC310" s="57"/>
      <c r="AD310" s="57"/>
      <c r="AE310" s="57"/>
      <c r="AF310" s="57"/>
      <c r="AG310" s="57"/>
      <c r="AH310" s="57"/>
      <c r="AI310" s="57"/>
      <c r="AJ310" s="57"/>
    </row>
    <row r="311" spans="1:36" x14ac:dyDescent="0.25">
      <c r="A311" s="57"/>
      <c r="B311" s="57"/>
      <c r="C311" s="57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  <c r="O311" s="57"/>
      <c r="P311" s="57"/>
      <c r="Q311" s="57"/>
      <c r="R311" s="57"/>
      <c r="S311" s="57"/>
      <c r="T311" s="57"/>
      <c r="U311" s="57"/>
      <c r="V311" s="57"/>
      <c r="W311" s="57"/>
      <c r="X311" s="57"/>
      <c r="Y311" s="57"/>
      <c r="Z311" s="57"/>
      <c r="AA311" s="57"/>
      <c r="AB311" s="57"/>
      <c r="AC311" s="57"/>
      <c r="AD311" s="57"/>
      <c r="AE311" s="57"/>
      <c r="AF311" s="57"/>
      <c r="AG311" s="57"/>
      <c r="AH311" s="57"/>
      <c r="AI311" s="57"/>
      <c r="AJ311" s="57"/>
    </row>
    <row r="312" spans="1:36" x14ac:dyDescent="0.25">
      <c r="A312" s="57"/>
      <c r="B312" s="57"/>
      <c r="C312" s="57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  <c r="O312" s="57"/>
      <c r="P312" s="57"/>
      <c r="Q312" s="57"/>
      <c r="R312" s="57"/>
      <c r="S312" s="57"/>
      <c r="T312" s="57"/>
      <c r="U312" s="57"/>
      <c r="V312" s="57"/>
      <c r="W312" s="57"/>
      <c r="X312" s="57"/>
      <c r="Y312" s="57"/>
      <c r="Z312" s="57"/>
      <c r="AA312" s="57"/>
      <c r="AB312" s="57"/>
      <c r="AC312" s="57"/>
      <c r="AD312" s="57"/>
      <c r="AE312" s="57"/>
      <c r="AF312" s="57"/>
      <c r="AG312" s="57"/>
      <c r="AH312" s="57"/>
      <c r="AI312" s="57"/>
      <c r="AJ312" s="57"/>
    </row>
    <row r="313" spans="1:36" x14ac:dyDescent="0.25">
      <c r="A313" s="57"/>
      <c r="B313" s="57"/>
      <c r="C313" s="57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  <c r="O313" s="57"/>
      <c r="P313" s="57"/>
      <c r="Q313" s="57"/>
      <c r="R313" s="57"/>
      <c r="S313" s="57"/>
      <c r="T313" s="57"/>
      <c r="U313" s="57"/>
      <c r="V313" s="57"/>
      <c r="W313" s="57"/>
      <c r="X313" s="57"/>
      <c r="Y313" s="57"/>
      <c r="Z313" s="57"/>
      <c r="AA313" s="57"/>
      <c r="AB313" s="57"/>
      <c r="AC313" s="57"/>
      <c r="AD313" s="57"/>
      <c r="AE313" s="57"/>
      <c r="AF313" s="57"/>
      <c r="AG313" s="57"/>
      <c r="AH313" s="57"/>
      <c r="AI313" s="57"/>
      <c r="AJ313" s="57"/>
    </row>
    <row r="314" spans="1:36" x14ac:dyDescent="0.25">
      <c r="A314" s="57"/>
      <c r="B314" s="57"/>
      <c r="C314" s="57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  <c r="O314" s="57"/>
      <c r="P314" s="57"/>
      <c r="Q314" s="57"/>
      <c r="R314" s="57"/>
      <c r="S314" s="57"/>
      <c r="T314" s="57"/>
      <c r="U314" s="57"/>
      <c r="V314" s="57"/>
      <c r="W314" s="57"/>
      <c r="X314" s="57"/>
      <c r="Y314" s="57"/>
      <c r="Z314" s="57"/>
      <c r="AA314" s="57"/>
      <c r="AB314" s="57"/>
      <c r="AC314" s="57"/>
      <c r="AD314" s="57"/>
      <c r="AE314" s="57"/>
      <c r="AF314" s="57"/>
      <c r="AG314" s="57"/>
      <c r="AH314" s="57"/>
      <c r="AI314" s="57"/>
      <c r="AJ314" s="57"/>
    </row>
    <row r="315" spans="1:36" x14ac:dyDescent="0.25">
      <c r="A315" s="57"/>
      <c r="B315" s="57"/>
      <c r="C315" s="57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  <c r="O315" s="57"/>
      <c r="P315" s="57"/>
      <c r="Q315" s="57"/>
      <c r="R315" s="57"/>
      <c r="S315" s="57"/>
      <c r="T315" s="57"/>
      <c r="U315" s="57"/>
      <c r="V315" s="57"/>
      <c r="W315" s="57"/>
      <c r="X315" s="57"/>
      <c r="Y315" s="57"/>
      <c r="Z315" s="57"/>
      <c r="AA315" s="57"/>
      <c r="AB315" s="57"/>
      <c r="AC315" s="57"/>
      <c r="AD315" s="57"/>
      <c r="AE315" s="57"/>
      <c r="AF315" s="57"/>
      <c r="AG315" s="57"/>
      <c r="AH315" s="57"/>
      <c r="AI315" s="57"/>
      <c r="AJ315" s="57"/>
    </row>
    <row r="316" spans="1:36" x14ac:dyDescent="0.25">
      <c r="A316" s="57"/>
      <c r="B316" s="57"/>
      <c r="C316" s="57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  <c r="O316" s="57"/>
      <c r="P316" s="57"/>
      <c r="Q316" s="57"/>
      <c r="R316" s="57"/>
      <c r="S316" s="57"/>
      <c r="T316" s="57"/>
      <c r="U316" s="57"/>
      <c r="V316" s="57"/>
      <c r="W316" s="57"/>
      <c r="X316" s="57"/>
      <c r="Y316" s="57"/>
      <c r="Z316" s="57"/>
      <c r="AA316" s="57"/>
      <c r="AB316" s="57"/>
      <c r="AC316" s="57"/>
      <c r="AD316" s="57"/>
      <c r="AE316" s="57"/>
      <c r="AF316" s="57"/>
      <c r="AG316" s="57"/>
      <c r="AH316" s="57"/>
      <c r="AI316" s="57"/>
      <c r="AJ316" s="57"/>
    </row>
    <row r="317" spans="1:36" x14ac:dyDescent="0.25">
      <c r="A317" s="57"/>
      <c r="B317" s="57"/>
      <c r="C317" s="57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  <c r="O317" s="57"/>
      <c r="P317" s="57"/>
      <c r="Q317" s="57"/>
      <c r="R317" s="57"/>
      <c r="S317" s="57"/>
      <c r="T317" s="57"/>
      <c r="U317" s="57"/>
      <c r="V317" s="57"/>
      <c r="W317" s="57"/>
      <c r="X317" s="57"/>
      <c r="Y317" s="57"/>
      <c r="Z317" s="57"/>
      <c r="AA317" s="57"/>
      <c r="AB317" s="57"/>
      <c r="AC317" s="57"/>
      <c r="AD317" s="57"/>
      <c r="AE317" s="57"/>
      <c r="AF317" s="57"/>
      <c r="AG317" s="57"/>
      <c r="AH317" s="57"/>
      <c r="AI317" s="57"/>
      <c r="AJ317" s="57"/>
    </row>
    <row r="318" spans="1:36" x14ac:dyDescent="0.25">
      <c r="A318" s="57"/>
      <c r="B318" s="57"/>
      <c r="C318" s="57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  <c r="O318" s="57"/>
      <c r="P318" s="57"/>
      <c r="Q318" s="57"/>
      <c r="R318" s="57"/>
      <c r="S318" s="57"/>
      <c r="T318" s="57"/>
      <c r="U318" s="57"/>
      <c r="V318" s="57"/>
      <c r="W318" s="57"/>
      <c r="X318" s="57"/>
      <c r="Y318" s="57"/>
      <c r="Z318" s="57"/>
      <c r="AA318" s="57"/>
      <c r="AB318" s="57"/>
      <c r="AC318" s="57"/>
      <c r="AD318" s="57"/>
      <c r="AE318" s="57"/>
      <c r="AF318" s="57"/>
      <c r="AG318" s="57"/>
      <c r="AH318" s="57"/>
      <c r="AI318" s="57"/>
      <c r="AJ318" s="57"/>
    </row>
    <row r="319" spans="1:36" x14ac:dyDescent="0.25">
      <c r="A319" s="57"/>
      <c r="B319" s="57"/>
      <c r="C319" s="57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  <c r="O319" s="57"/>
      <c r="P319" s="57"/>
      <c r="Q319" s="57"/>
      <c r="R319" s="57"/>
      <c r="S319" s="57"/>
      <c r="T319" s="57"/>
      <c r="U319" s="57"/>
      <c r="V319" s="57"/>
      <c r="W319" s="57"/>
      <c r="X319" s="57"/>
      <c r="Y319" s="57"/>
      <c r="Z319" s="57"/>
      <c r="AA319" s="57"/>
      <c r="AB319" s="57"/>
      <c r="AC319" s="57"/>
      <c r="AD319" s="57"/>
      <c r="AE319" s="57"/>
      <c r="AF319" s="57"/>
      <c r="AG319" s="57"/>
      <c r="AH319" s="57"/>
      <c r="AI319" s="57"/>
      <c r="AJ319" s="57"/>
    </row>
    <row r="320" spans="1:36" x14ac:dyDescent="0.25">
      <c r="A320" s="57"/>
      <c r="B320" s="57"/>
      <c r="C320" s="57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  <c r="O320" s="57"/>
      <c r="P320" s="57"/>
      <c r="Q320" s="57"/>
      <c r="R320" s="57"/>
      <c r="S320" s="57"/>
      <c r="T320" s="57"/>
      <c r="U320" s="57"/>
      <c r="V320" s="57"/>
      <c r="W320" s="57"/>
      <c r="X320" s="57"/>
      <c r="Y320" s="57"/>
      <c r="Z320" s="57"/>
      <c r="AA320" s="57"/>
      <c r="AB320" s="57"/>
      <c r="AC320" s="57"/>
      <c r="AD320" s="57"/>
      <c r="AE320" s="57"/>
      <c r="AF320" s="57"/>
      <c r="AG320" s="57"/>
      <c r="AH320" s="57"/>
      <c r="AI320" s="57"/>
      <c r="AJ320" s="57"/>
    </row>
    <row r="321" spans="1:36" x14ac:dyDescent="0.25">
      <c r="A321" s="57"/>
      <c r="B321" s="57"/>
      <c r="C321" s="57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  <c r="O321" s="57"/>
      <c r="P321" s="57"/>
      <c r="Q321" s="57"/>
      <c r="R321" s="57"/>
      <c r="S321" s="57"/>
      <c r="T321" s="57"/>
      <c r="U321" s="57"/>
      <c r="V321" s="57"/>
      <c r="W321" s="57"/>
      <c r="X321" s="57"/>
      <c r="Y321" s="57"/>
      <c r="Z321" s="57"/>
      <c r="AA321" s="57"/>
      <c r="AB321" s="57"/>
      <c r="AC321" s="57"/>
      <c r="AD321" s="57"/>
      <c r="AE321" s="57"/>
      <c r="AF321" s="57"/>
      <c r="AG321" s="57"/>
      <c r="AH321" s="57"/>
      <c r="AI321" s="57"/>
      <c r="AJ321" s="57"/>
    </row>
    <row r="322" spans="1:36" x14ac:dyDescent="0.25">
      <c r="A322" s="57"/>
      <c r="B322" s="57"/>
      <c r="C322" s="57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  <c r="O322" s="57"/>
      <c r="P322" s="57"/>
      <c r="Q322" s="57"/>
      <c r="R322" s="57"/>
      <c r="S322" s="57"/>
      <c r="T322" s="57"/>
      <c r="U322" s="57"/>
      <c r="V322" s="57"/>
      <c r="W322" s="57"/>
      <c r="X322" s="57"/>
      <c r="Y322" s="57"/>
      <c r="Z322" s="57"/>
      <c r="AA322" s="57"/>
      <c r="AB322" s="57"/>
      <c r="AC322" s="57"/>
      <c r="AD322" s="57"/>
      <c r="AE322" s="57"/>
      <c r="AF322" s="57"/>
      <c r="AG322" s="57"/>
      <c r="AH322" s="57"/>
      <c r="AI322" s="57"/>
      <c r="AJ322" s="57"/>
    </row>
    <row r="323" spans="1:36" x14ac:dyDescent="0.25">
      <c r="A323" s="57"/>
      <c r="B323" s="57"/>
      <c r="C323" s="57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  <c r="O323" s="57"/>
      <c r="P323" s="57"/>
      <c r="Q323" s="57"/>
      <c r="R323" s="57"/>
      <c r="S323" s="57"/>
      <c r="T323" s="57"/>
      <c r="U323" s="57"/>
      <c r="V323" s="57"/>
      <c r="W323" s="57"/>
      <c r="X323" s="57"/>
      <c r="Y323" s="57"/>
      <c r="Z323" s="57"/>
      <c r="AA323" s="57"/>
      <c r="AB323" s="57"/>
      <c r="AC323" s="57"/>
      <c r="AD323" s="57"/>
      <c r="AE323" s="57"/>
      <c r="AF323" s="57"/>
      <c r="AG323" s="57"/>
      <c r="AH323" s="57"/>
      <c r="AI323" s="57"/>
      <c r="AJ323" s="57"/>
    </row>
    <row r="324" spans="1:36" x14ac:dyDescent="0.25">
      <c r="A324" s="57"/>
      <c r="B324" s="57"/>
      <c r="C324" s="57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  <c r="O324" s="57"/>
      <c r="P324" s="57"/>
      <c r="Q324" s="57"/>
      <c r="R324" s="57"/>
      <c r="S324" s="57"/>
      <c r="T324" s="57"/>
      <c r="U324" s="57"/>
      <c r="V324" s="57"/>
      <c r="W324" s="57"/>
      <c r="X324" s="57"/>
      <c r="Y324" s="57"/>
      <c r="Z324" s="57"/>
      <c r="AA324" s="57"/>
      <c r="AB324" s="57"/>
      <c r="AC324" s="57"/>
      <c r="AD324" s="57"/>
      <c r="AE324" s="57"/>
      <c r="AF324" s="57"/>
      <c r="AG324" s="57"/>
      <c r="AH324" s="57"/>
      <c r="AI324" s="57"/>
      <c r="AJ324" s="57"/>
    </row>
    <row r="325" spans="1:36" x14ac:dyDescent="0.25">
      <c r="A325" s="57"/>
      <c r="B325" s="57"/>
      <c r="C325" s="57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  <c r="O325" s="57"/>
      <c r="P325" s="57"/>
      <c r="Q325" s="57"/>
      <c r="R325" s="57"/>
      <c r="S325" s="57"/>
      <c r="T325" s="57"/>
      <c r="U325" s="57"/>
      <c r="V325" s="57"/>
      <c r="W325" s="57"/>
      <c r="X325" s="57"/>
      <c r="Y325" s="57"/>
      <c r="Z325" s="57"/>
      <c r="AA325" s="57"/>
      <c r="AB325" s="57"/>
      <c r="AC325" s="57"/>
      <c r="AD325" s="57"/>
      <c r="AE325" s="57"/>
      <c r="AF325" s="57"/>
      <c r="AG325" s="57"/>
      <c r="AH325" s="57"/>
      <c r="AI325" s="57"/>
      <c r="AJ325" s="57"/>
    </row>
    <row r="326" spans="1:36" x14ac:dyDescent="0.25">
      <c r="A326" s="57"/>
      <c r="B326" s="57"/>
      <c r="C326" s="57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  <c r="O326" s="57"/>
      <c r="P326" s="57"/>
      <c r="Q326" s="57"/>
      <c r="R326" s="57"/>
      <c r="S326" s="57"/>
      <c r="T326" s="57"/>
      <c r="U326" s="57"/>
      <c r="V326" s="57"/>
      <c r="W326" s="57"/>
      <c r="X326" s="57"/>
      <c r="Y326" s="57"/>
      <c r="Z326" s="57"/>
      <c r="AA326" s="57"/>
      <c r="AB326" s="57"/>
      <c r="AC326" s="57"/>
      <c r="AD326" s="57"/>
      <c r="AE326" s="57"/>
      <c r="AF326" s="57"/>
      <c r="AG326" s="57"/>
      <c r="AH326" s="57"/>
      <c r="AI326" s="57"/>
      <c r="AJ326" s="57"/>
    </row>
    <row r="327" spans="1:36" x14ac:dyDescent="0.25">
      <c r="A327" s="57"/>
      <c r="B327" s="57"/>
      <c r="C327" s="57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  <c r="O327" s="57"/>
      <c r="P327" s="57"/>
      <c r="Q327" s="57"/>
      <c r="R327" s="57"/>
      <c r="S327" s="57"/>
      <c r="T327" s="57"/>
      <c r="U327" s="57"/>
      <c r="V327" s="57"/>
      <c r="W327" s="57"/>
      <c r="X327" s="57"/>
      <c r="Y327" s="57"/>
      <c r="Z327" s="57"/>
      <c r="AA327" s="57"/>
      <c r="AB327" s="57"/>
      <c r="AC327" s="57"/>
      <c r="AD327" s="57"/>
      <c r="AE327" s="57"/>
      <c r="AF327" s="57"/>
      <c r="AG327" s="57"/>
      <c r="AH327" s="57"/>
      <c r="AI327" s="57"/>
      <c r="AJ327" s="57"/>
    </row>
    <row r="328" spans="1:36" x14ac:dyDescent="0.25">
      <c r="A328" s="57"/>
      <c r="B328" s="57"/>
      <c r="C328" s="57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  <c r="O328" s="57"/>
      <c r="P328" s="57"/>
      <c r="Q328" s="57"/>
      <c r="R328" s="57"/>
      <c r="S328" s="57"/>
      <c r="T328" s="57"/>
      <c r="U328" s="57"/>
      <c r="V328" s="57"/>
      <c r="W328" s="57"/>
      <c r="X328" s="57"/>
      <c r="Y328" s="57"/>
      <c r="Z328" s="57"/>
      <c r="AA328" s="57"/>
      <c r="AB328" s="57"/>
      <c r="AC328" s="57"/>
      <c r="AD328" s="57"/>
      <c r="AE328" s="57"/>
      <c r="AF328" s="57"/>
      <c r="AG328" s="57"/>
      <c r="AH328" s="57"/>
      <c r="AI328" s="57"/>
      <c r="AJ328" s="57"/>
    </row>
    <row r="329" spans="1:36" x14ac:dyDescent="0.25">
      <c r="A329" s="57"/>
      <c r="B329" s="57"/>
      <c r="C329" s="57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  <c r="O329" s="57"/>
      <c r="P329" s="57"/>
      <c r="Q329" s="57"/>
      <c r="R329" s="57"/>
      <c r="S329" s="57"/>
      <c r="T329" s="57"/>
      <c r="U329" s="57"/>
      <c r="V329" s="57"/>
      <c r="W329" s="57"/>
      <c r="X329" s="57"/>
      <c r="Y329" s="57"/>
      <c r="Z329" s="57"/>
      <c r="AA329" s="57"/>
      <c r="AB329" s="57"/>
      <c r="AC329" s="57"/>
      <c r="AD329" s="57"/>
      <c r="AE329" s="57"/>
      <c r="AF329" s="57"/>
      <c r="AG329" s="57"/>
      <c r="AH329" s="57"/>
      <c r="AI329" s="57"/>
      <c r="AJ329" s="57"/>
    </row>
    <row r="330" spans="1:36" x14ac:dyDescent="0.25">
      <c r="A330" s="57"/>
      <c r="B330" s="57"/>
      <c r="C330" s="57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  <c r="O330" s="57"/>
      <c r="P330" s="57"/>
      <c r="Q330" s="57"/>
      <c r="R330" s="57"/>
      <c r="S330" s="57"/>
      <c r="T330" s="57"/>
      <c r="U330" s="57"/>
      <c r="V330" s="57"/>
      <c r="W330" s="57"/>
      <c r="X330" s="57"/>
      <c r="Y330" s="57"/>
      <c r="Z330" s="57"/>
      <c r="AA330" s="57"/>
      <c r="AB330" s="57"/>
      <c r="AC330" s="57"/>
      <c r="AD330" s="57"/>
      <c r="AE330" s="57"/>
      <c r="AF330" s="57"/>
      <c r="AG330" s="57"/>
      <c r="AH330" s="57"/>
      <c r="AI330" s="57"/>
      <c r="AJ330" s="57"/>
    </row>
    <row r="331" spans="1:36" x14ac:dyDescent="0.25">
      <c r="A331" s="57"/>
      <c r="B331" s="57"/>
      <c r="C331" s="57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  <c r="O331" s="57"/>
      <c r="P331" s="57"/>
      <c r="Q331" s="57"/>
      <c r="R331" s="57"/>
      <c r="S331" s="57"/>
      <c r="T331" s="57"/>
      <c r="U331" s="57"/>
      <c r="V331" s="57"/>
      <c r="W331" s="57"/>
      <c r="X331" s="57"/>
      <c r="Y331" s="57"/>
      <c r="Z331" s="57"/>
      <c r="AA331" s="57"/>
      <c r="AB331" s="57"/>
      <c r="AC331" s="57"/>
      <c r="AD331" s="57"/>
      <c r="AE331" s="57"/>
      <c r="AF331" s="57"/>
      <c r="AG331" s="57"/>
      <c r="AH331" s="57"/>
      <c r="AI331" s="57"/>
      <c r="AJ331" s="57"/>
    </row>
    <row r="332" spans="1:36" x14ac:dyDescent="0.25">
      <c r="A332" s="57"/>
      <c r="B332" s="57"/>
      <c r="C332" s="57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  <c r="O332" s="57"/>
      <c r="P332" s="57"/>
      <c r="Q332" s="57"/>
      <c r="R332" s="57"/>
      <c r="S332" s="57"/>
      <c r="T332" s="57"/>
      <c r="U332" s="57"/>
      <c r="V332" s="57"/>
      <c r="W332" s="57"/>
      <c r="X332" s="57"/>
      <c r="Y332" s="57"/>
      <c r="Z332" s="57"/>
      <c r="AA332" s="57"/>
      <c r="AB332" s="57"/>
      <c r="AC332" s="57"/>
      <c r="AD332" s="57"/>
      <c r="AE332" s="57"/>
      <c r="AF332" s="57"/>
      <c r="AG332" s="57"/>
      <c r="AH332" s="57"/>
      <c r="AI332" s="57"/>
      <c r="AJ332" s="57"/>
    </row>
    <row r="333" spans="1:36" x14ac:dyDescent="0.25">
      <c r="A333" s="57"/>
      <c r="B333" s="57"/>
      <c r="C333" s="57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  <c r="O333" s="57"/>
      <c r="P333" s="57"/>
      <c r="Q333" s="57"/>
      <c r="R333" s="57"/>
      <c r="S333" s="57"/>
      <c r="T333" s="57"/>
      <c r="U333" s="57"/>
      <c r="V333" s="57"/>
      <c r="W333" s="57"/>
      <c r="X333" s="57"/>
      <c r="Y333" s="57"/>
      <c r="Z333" s="57"/>
      <c r="AA333" s="57"/>
      <c r="AB333" s="57"/>
      <c r="AC333" s="57"/>
      <c r="AD333" s="57"/>
      <c r="AE333" s="57"/>
      <c r="AF333" s="57"/>
      <c r="AG333" s="57"/>
      <c r="AH333" s="57"/>
      <c r="AI333" s="57"/>
      <c r="AJ333" s="57"/>
    </row>
    <row r="334" spans="1:36" x14ac:dyDescent="0.25">
      <c r="A334" s="57"/>
      <c r="B334" s="57"/>
      <c r="C334" s="57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  <c r="O334" s="57"/>
      <c r="P334" s="57"/>
      <c r="Q334" s="57"/>
      <c r="R334" s="57"/>
      <c r="S334" s="57"/>
      <c r="T334" s="57"/>
      <c r="U334" s="57"/>
      <c r="V334" s="57"/>
      <c r="W334" s="57"/>
      <c r="X334" s="57"/>
      <c r="Y334" s="57"/>
      <c r="Z334" s="57"/>
      <c r="AA334" s="57"/>
      <c r="AB334" s="57"/>
      <c r="AC334" s="57"/>
      <c r="AD334" s="57"/>
      <c r="AE334" s="57"/>
      <c r="AF334" s="57"/>
      <c r="AG334" s="57"/>
      <c r="AH334" s="57"/>
      <c r="AI334" s="57"/>
      <c r="AJ334" s="57"/>
    </row>
    <row r="335" spans="1:36" x14ac:dyDescent="0.25">
      <c r="A335" s="57"/>
      <c r="B335" s="57"/>
      <c r="C335" s="57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  <c r="O335" s="57"/>
      <c r="P335" s="57"/>
      <c r="Q335" s="57"/>
      <c r="R335" s="57"/>
      <c r="S335" s="57"/>
      <c r="T335" s="57"/>
      <c r="U335" s="57"/>
      <c r="V335" s="57"/>
      <c r="W335" s="57"/>
      <c r="X335" s="57"/>
      <c r="Y335" s="57"/>
      <c r="Z335" s="57"/>
      <c r="AA335" s="57"/>
      <c r="AB335" s="57"/>
      <c r="AC335" s="57"/>
      <c r="AD335" s="57"/>
      <c r="AE335" s="57"/>
      <c r="AF335" s="57"/>
      <c r="AG335" s="57"/>
      <c r="AH335" s="57"/>
      <c r="AI335" s="57"/>
      <c r="AJ335" s="57"/>
    </row>
    <row r="336" spans="1:36" x14ac:dyDescent="0.25">
      <c r="A336" s="57"/>
      <c r="B336" s="57"/>
      <c r="C336" s="57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  <c r="O336" s="57"/>
      <c r="P336" s="57"/>
      <c r="Q336" s="57"/>
      <c r="R336" s="57"/>
      <c r="S336" s="57"/>
      <c r="T336" s="57"/>
      <c r="U336" s="57"/>
      <c r="V336" s="57"/>
      <c r="W336" s="57"/>
      <c r="X336" s="57"/>
      <c r="Y336" s="57"/>
      <c r="Z336" s="57"/>
      <c r="AA336" s="57"/>
      <c r="AB336" s="57"/>
      <c r="AC336" s="57"/>
      <c r="AD336" s="57"/>
      <c r="AE336" s="57"/>
      <c r="AF336" s="57"/>
      <c r="AG336" s="57"/>
      <c r="AH336" s="57"/>
      <c r="AI336" s="57"/>
      <c r="AJ336" s="57"/>
    </row>
    <row r="337" spans="1:36" x14ac:dyDescent="0.25">
      <c r="A337" s="57"/>
      <c r="B337" s="57"/>
      <c r="C337" s="57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  <c r="O337" s="57"/>
      <c r="P337" s="57"/>
      <c r="Q337" s="57"/>
      <c r="R337" s="57"/>
      <c r="S337" s="57"/>
      <c r="T337" s="57"/>
      <c r="U337" s="57"/>
      <c r="V337" s="57"/>
      <c r="W337" s="57"/>
      <c r="X337" s="57"/>
      <c r="Y337" s="57"/>
      <c r="Z337" s="57"/>
      <c r="AA337" s="57"/>
      <c r="AB337" s="57"/>
      <c r="AC337" s="57"/>
      <c r="AD337" s="57"/>
      <c r="AE337" s="57"/>
      <c r="AF337" s="57"/>
      <c r="AG337" s="57"/>
      <c r="AH337" s="57"/>
      <c r="AI337" s="57"/>
      <c r="AJ337" s="57"/>
    </row>
    <row r="338" spans="1:36" x14ac:dyDescent="0.25">
      <c r="A338" s="57"/>
      <c r="B338" s="57"/>
      <c r="C338" s="57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  <c r="O338" s="57"/>
      <c r="P338" s="57"/>
      <c r="Q338" s="57"/>
      <c r="R338" s="57"/>
      <c r="S338" s="57"/>
      <c r="T338" s="57"/>
      <c r="U338" s="57"/>
      <c r="V338" s="57"/>
      <c r="W338" s="57"/>
      <c r="X338" s="57"/>
      <c r="Y338" s="57"/>
      <c r="Z338" s="57"/>
      <c r="AA338" s="57"/>
      <c r="AB338" s="57"/>
      <c r="AC338" s="57"/>
      <c r="AD338" s="57"/>
      <c r="AE338" s="57"/>
      <c r="AF338" s="57"/>
      <c r="AG338" s="57"/>
      <c r="AH338" s="57"/>
      <c r="AI338" s="57"/>
      <c r="AJ338" s="57"/>
    </row>
    <row r="339" spans="1:36" x14ac:dyDescent="0.25">
      <c r="A339" s="57"/>
      <c r="B339" s="57"/>
      <c r="C339" s="57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  <c r="O339" s="57"/>
      <c r="P339" s="57"/>
      <c r="Q339" s="57"/>
      <c r="R339" s="57"/>
      <c r="S339" s="57"/>
      <c r="T339" s="57"/>
      <c r="U339" s="57"/>
      <c r="V339" s="57"/>
      <c r="W339" s="57"/>
      <c r="X339" s="57"/>
      <c r="Y339" s="57"/>
      <c r="Z339" s="57"/>
      <c r="AA339" s="57"/>
      <c r="AB339" s="57"/>
      <c r="AC339" s="57"/>
      <c r="AD339" s="57"/>
      <c r="AE339" s="57"/>
      <c r="AF339" s="57"/>
      <c r="AG339" s="57"/>
      <c r="AH339" s="57"/>
      <c r="AI339" s="57"/>
      <c r="AJ339" s="57"/>
    </row>
    <row r="340" spans="1:36" x14ac:dyDescent="0.25">
      <c r="A340" s="57"/>
      <c r="B340" s="57"/>
      <c r="C340" s="57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  <c r="O340" s="57"/>
      <c r="P340" s="57"/>
      <c r="Q340" s="57"/>
      <c r="R340" s="57"/>
      <c r="S340" s="57"/>
      <c r="T340" s="57"/>
      <c r="U340" s="57"/>
      <c r="V340" s="57"/>
      <c r="W340" s="57"/>
      <c r="X340" s="57"/>
      <c r="Y340" s="57"/>
      <c r="Z340" s="57"/>
      <c r="AA340" s="57"/>
      <c r="AB340" s="57"/>
      <c r="AC340" s="57"/>
      <c r="AD340" s="57"/>
      <c r="AE340" s="57"/>
      <c r="AF340" s="57"/>
      <c r="AG340" s="57"/>
      <c r="AH340" s="57"/>
      <c r="AI340" s="57"/>
      <c r="AJ340" s="57"/>
    </row>
    <row r="341" spans="1:36" x14ac:dyDescent="0.25">
      <c r="A341" s="57"/>
      <c r="B341" s="57"/>
      <c r="C341" s="57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  <c r="O341" s="57"/>
      <c r="P341" s="57"/>
      <c r="Q341" s="57"/>
      <c r="R341" s="57"/>
      <c r="S341" s="57"/>
      <c r="T341" s="57"/>
      <c r="U341" s="57"/>
      <c r="V341" s="57"/>
      <c r="W341" s="57"/>
      <c r="X341" s="57"/>
      <c r="Y341" s="57"/>
      <c r="Z341" s="57"/>
      <c r="AA341" s="57"/>
      <c r="AB341" s="57"/>
      <c r="AC341" s="57"/>
      <c r="AD341" s="57"/>
      <c r="AE341" s="57"/>
      <c r="AF341" s="57"/>
      <c r="AG341" s="57"/>
      <c r="AH341" s="57"/>
      <c r="AI341" s="57"/>
      <c r="AJ341" s="57"/>
    </row>
    <row r="342" spans="1:36" x14ac:dyDescent="0.25">
      <c r="A342" s="57"/>
      <c r="B342" s="57"/>
      <c r="C342" s="57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  <c r="O342" s="57"/>
      <c r="P342" s="57"/>
      <c r="Q342" s="57"/>
      <c r="R342" s="57"/>
      <c r="S342" s="57"/>
      <c r="T342" s="57"/>
      <c r="U342" s="57"/>
      <c r="V342" s="57"/>
      <c r="W342" s="57"/>
      <c r="X342" s="57"/>
      <c r="Y342" s="57"/>
      <c r="Z342" s="57"/>
      <c r="AA342" s="57"/>
      <c r="AB342" s="57"/>
      <c r="AC342" s="57"/>
      <c r="AD342" s="57"/>
      <c r="AE342" s="57"/>
      <c r="AF342" s="57"/>
      <c r="AG342" s="57"/>
      <c r="AH342" s="57"/>
      <c r="AI342" s="57"/>
      <c r="AJ342" s="57"/>
    </row>
    <row r="343" spans="1:36" x14ac:dyDescent="0.25">
      <c r="A343" s="57"/>
      <c r="B343" s="57"/>
      <c r="C343" s="57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  <c r="O343" s="57"/>
      <c r="P343" s="57"/>
      <c r="Q343" s="57"/>
      <c r="R343" s="57"/>
      <c r="S343" s="57"/>
      <c r="T343" s="57"/>
      <c r="U343" s="57"/>
      <c r="V343" s="57"/>
      <c r="W343" s="57"/>
      <c r="X343" s="57"/>
      <c r="Y343" s="57"/>
      <c r="Z343" s="57"/>
      <c r="AA343" s="57"/>
      <c r="AB343" s="57"/>
      <c r="AC343" s="57"/>
      <c r="AD343" s="57"/>
      <c r="AE343" s="57"/>
      <c r="AF343" s="57"/>
      <c r="AG343" s="57"/>
      <c r="AH343" s="57"/>
      <c r="AI343" s="57"/>
      <c r="AJ343" s="57"/>
    </row>
    <row r="344" spans="1:36" x14ac:dyDescent="0.25">
      <c r="A344" s="57"/>
      <c r="B344" s="57"/>
      <c r="C344" s="57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  <c r="O344" s="57"/>
      <c r="P344" s="57"/>
      <c r="Q344" s="57"/>
      <c r="R344" s="57"/>
      <c r="S344" s="57"/>
      <c r="T344" s="57"/>
      <c r="U344" s="57"/>
      <c r="V344" s="57"/>
      <c r="W344" s="57"/>
      <c r="X344" s="57"/>
      <c r="Y344" s="57"/>
      <c r="Z344" s="57"/>
      <c r="AA344" s="57"/>
      <c r="AB344" s="57"/>
      <c r="AC344" s="57"/>
      <c r="AD344" s="57"/>
      <c r="AE344" s="57"/>
      <c r="AF344" s="57"/>
      <c r="AG344" s="57"/>
      <c r="AH344" s="57"/>
      <c r="AI344" s="57"/>
      <c r="AJ344" s="57"/>
    </row>
    <row r="345" spans="1:36" x14ac:dyDescent="0.25">
      <c r="A345" s="57"/>
      <c r="B345" s="57"/>
      <c r="C345" s="57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  <c r="O345" s="57"/>
      <c r="P345" s="57"/>
      <c r="Q345" s="57"/>
      <c r="R345" s="57"/>
      <c r="S345" s="57"/>
      <c r="T345" s="57"/>
      <c r="U345" s="57"/>
      <c r="V345" s="57"/>
      <c r="W345" s="57"/>
      <c r="X345" s="57"/>
      <c r="Y345" s="57"/>
      <c r="Z345" s="57"/>
      <c r="AA345" s="57"/>
      <c r="AB345" s="57"/>
      <c r="AC345" s="57"/>
      <c r="AD345" s="57"/>
      <c r="AE345" s="57"/>
      <c r="AF345" s="57"/>
      <c r="AG345" s="57"/>
      <c r="AH345" s="57"/>
      <c r="AI345" s="57"/>
      <c r="AJ345" s="57"/>
    </row>
    <row r="346" spans="1:36" x14ac:dyDescent="0.25">
      <c r="A346" s="57"/>
      <c r="B346" s="57"/>
      <c r="C346" s="57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  <c r="O346" s="57"/>
      <c r="P346" s="57"/>
      <c r="Q346" s="57"/>
      <c r="R346" s="57"/>
      <c r="S346" s="57"/>
      <c r="T346" s="57"/>
      <c r="U346" s="57"/>
      <c r="V346" s="57"/>
      <c r="W346" s="57"/>
      <c r="X346" s="57"/>
      <c r="Y346" s="57"/>
      <c r="Z346" s="57"/>
      <c r="AA346" s="57"/>
      <c r="AB346" s="57"/>
      <c r="AC346" s="57"/>
      <c r="AD346" s="57"/>
      <c r="AE346" s="57"/>
      <c r="AF346" s="57"/>
      <c r="AG346" s="57"/>
      <c r="AH346" s="57"/>
      <c r="AI346" s="57"/>
      <c r="AJ346" s="57"/>
    </row>
    <row r="347" spans="1:36" x14ac:dyDescent="0.25">
      <c r="A347" s="57"/>
      <c r="B347" s="57"/>
      <c r="C347" s="57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  <c r="O347" s="57"/>
      <c r="P347" s="57"/>
      <c r="Q347" s="57"/>
      <c r="R347" s="57"/>
      <c r="S347" s="57"/>
      <c r="T347" s="57"/>
      <c r="U347" s="57"/>
      <c r="V347" s="57"/>
      <c r="W347" s="57"/>
      <c r="X347" s="57"/>
      <c r="Y347" s="57"/>
      <c r="Z347" s="57"/>
      <c r="AA347" s="57"/>
      <c r="AB347" s="57"/>
      <c r="AC347" s="57"/>
      <c r="AD347" s="57"/>
      <c r="AE347" s="57"/>
      <c r="AF347" s="57"/>
      <c r="AG347" s="57"/>
      <c r="AH347" s="57"/>
      <c r="AI347" s="57"/>
      <c r="AJ347" s="57"/>
    </row>
    <row r="348" spans="1:36" x14ac:dyDescent="0.25">
      <c r="A348" s="57"/>
      <c r="B348" s="57"/>
      <c r="C348" s="57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  <c r="O348" s="57"/>
      <c r="P348" s="57"/>
      <c r="Q348" s="57"/>
      <c r="R348" s="57"/>
      <c r="S348" s="57"/>
      <c r="T348" s="57"/>
      <c r="U348" s="57"/>
      <c r="V348" s="57"/>
      <c r="W348" s="57"/>
      <c r="X348" s="57"/>
      <c r="Y348" s="57"/>
      <c r="Z348" s="57"/>
      <c r="AA348" s="57"/>
      <c r="AB348" s="57"/>
      <c r="AC348" s="57"/>
      <c r="AD348" s="57"/>
      <c r="AE348" s="57"/>
      <c r="AF348" s="57"/>
      <c r="AG348" s="57"/>
      <c r="AH348" s="57"/>
      <c r="AI348" s="57"/>
      <c r="AJ348" s="57"/>
    </row>
    <row r="349" spans="1:36" x14ac:dyDescent="0.25">
      <c r="A349" s="57"/>
      <c r="B349" s="57"/>
      <c r="C349" s="57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  <c r="O349" s="57"/>
      <c r="P349" s="57"/>
      <c r="Q349" s="57"/>
      <c r="R349" s="57"/>
      <c r="S349" s="57"/>
      <c r="T349" s="57"/>
      <c r="U349" s="57"/>
      <c r="V349" s="57"/>
      <c r="W349" s="57"/>
      <c r="X349" s="57"/>
      <c r="Y349" s="57"/>
      <c r="Z349" s="57"/>
      <c r="AA349" s="57"/>
      <c r="AB349" s="57"/>
      <c r="AC349" s="57"/>
      <c r="AD349" s="57"/>
      <c r="AE349" s="57"/>
      <c r="AF349" s="57"/>
      <c r="AG349" s="57"/>
      <c r="AH349" s="57"/>
      <c r="AI349" s="57"/>
      <c r="AJ349" s="57"/>
    </row>
    <row r="350" spans="1:36" x14ac:dyDescent="0.25">
      <c r="A350" s="57"/>
      <c r="B350" s="57"/>
      <c r="C350" s="57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  <c r="O350" s="57"/>
      <c r="P350" s="57"/>
      <c r="Q350" s="57"/>
      <c r="R350" s="57"/>
      <c r="S350" s="57"/>
      <c r="T350" s="57"/>
      <c r="U350" s="57"/>
      <c r="V350" s="57"/>
      <c r="W350" s="57"/>
      <c r="X350" s="57"/>
      <c r="Y350" s="57"/>
      <c r="Z350" s="57"/>
      <c r="AA350" s="57"/>
      <c r="AB350" s="57"/>
      <c r="AC350" s="57"/>
      <c r="AD350" s="57"/>
      <c r="AE350" s="57"/>
      <c r="AF350" s="57"/>
      <c r="AG350" s="57"/>
      <c r="AH350" s="57"/>
      <c r="AI350" s="57"/>
      <c r="AJ350" s="57"/>
    </row>
    <row r="351" spans="1:36" x14ac:dyDescent="0.25">
      <c r="A351" s="57"/>
      <c r="B351" s="57"/>
      <c r="C351" s="57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  <c r="O351" s="57"/>
      <c r="P351" s="57"/>
      <c r="Q351" s="57"/>
      <c r="R351" s="57"/>
      <c r="S351" s="57"/>
      <c r="T351" s="57"/>
      <c r="U351" s="57"/>
      <c r="V351" s="57"/>
      <c r="W351" s="57"/>
      <c r="X351" s="57"/>
      <c r="Y351" s="57"/>
      <c r="Z351" s="57"/>
      <c r="AA351" s="57"/>
      <c r="AB351" s="57"/>
      <c r="AC351" s="57"/>
      <c r="AD351" s="57"/>
      <c r="AE351" s="57"/>
      <c r="AF351" s="57"/>
      <c r="AG351" s="57"/>
      <c r="AH351" s="57"/>
      <c r="AI351" s="57"/>
      <c r="AJ351" s="57"/>
    </row>
    <row r="352" spans="1:36" x14ac:dyDescent="0.25">
      <c r="A352" s="57"/>
      <c r="B352" s="57"/>
      <c r="C352" s="57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  <c r="O352" s="57"/>
      <c r="P352" s="57"/>
      <c r="Q352" s="57"/>
      <c r="R352" s="57"/>
      <c r="S352" s="57"/>
      <c r="T352" s="57"/>
      <c r="U352" s="57"/>
      <c r="V352" s="57"/>
      <c r="W352" s="57"/>
      <c r="X352" s="57"/>
      <c r="Y352" s="57"/>
      <c r="Z352" s="57"/>
      <c r="AA352" s="57"/>
      <c r="AB352" s="57"/>
      <c r="AC352" s="57"/>
      <c r="AD352" s="57"/>
      <c r="AE352" s="57"/>
      <c r="AF352" s="57"/>
      <c r="AG352" s="57"/>
      <c r="AH352" s="57"/>
      <c r="AI352" s="57"/>
      <c r="AJ352" s="57"/>
    </row>
    <row r="353" spans="1:36" x14ac:dyDescent="0.25">
      <c r="A353" s="57"/>
      <c r="B353" s="57"/>
      <c r="C353" s="57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  <c r="O353" s="57"/>
      <c r="P353" s="57"/>
      <c r="Q353" s="57"/>
      <c r="R353" s="57"/>
      <c r="S353" s="57"/>
      <c r="T353" s="57"/>
      <c r="U353" s="57"/>
      <c r="V353" s="57"/>
      <c r="W353" s="57"/>
      <c r="X353" s="57"/>
      <c r="Y353" s="57"/>
      <c r="Z353" s="57"/>
      <c r="AA353" s="57"/>
      <c r="AB353" s="57"/>
      <c r="AC353" s="57"/>
      <c r="AD353" s="57"/>
      <c r="AE353" s="57"/>
      <c r="AF353" s="57"/>
      <c r="AG353" s="57"/>
      <c r="AH353" s="57"/>
      <c r="AI353" s="57"/>
      <c r="AJ353" s="57"/>
    </row>
    <row r="354" spans="1:36" x14ac:dyDescent="0.25">
      <c r="A354" s="57"/>
      <c r="B354" s="57"/>
      <c r="C354" s="57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  <c r="O354" s="57"/>
      <c r="P354" s="57"/>
      <c r="Q354" s="57"/>
      <c r="R354" s="57"/>
      <c r="S354" s="57"/>
      <c r="T354" s="57"/>
      <c r="U354" s="57"/>
      <c r="V354" s="57"/>
      <c r="W354" s="57"/>
      <c r="X354" s="57"/>
      <c r="Y354" s="57"/>
      <c r="Z354" s="57"/>
      <c r="AA354" s="57"/>
      <c r="AB354" s="57"/>
      <c r="AC354" s="57"/>
      <c r="AD354" s="57"/>
      <c r="AE354" s="57"/>
      <c r="AF354" s="57"/>
      <c r="AG354" s="57"/>
      <c r="AH354" s="57"/>
      <c r="AI354" s="57"/>
      <c r="AJ354" s="57"/>
    </row>
    <row r="355" spans="1:36" x14ac:dyDescent="0.25">
      <c r="A355" s="57"/>
      <c r="B355" s="57"/>
      <c r="C355" s="57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  <c r="O355" s="57"/>
      <c r="P355" s="57"/>
      <c r="Q355" s="57"/>
      <c r="R355" s="57"/>
      <c r="S355" s="57"/>
      <c r="T355" s="57"/>
      <c r="U355" s="57"/>
      <c r="V355" s="57"/>
      <c r="W355" s="57"/>
      <c r="X355" s="57"/>
      <c r="Y355" s="57"/>
      <c r="Z355" s="57"/>
      <c r="AA355" s="57"/>
      <c r="AB355" s="57"/>
      <c r="AC355" s="57"/>
      <c r="AD355" s="57"/>
      <c r="AE355" s="57"/>
      <c r="AF355" s="57"/>
      <c r="AG355" s="57"/>
      <c r="AH355" s="57"/>
      <c r="AI355" s="57"/>
      <c r="AJ355" s="57"/>
    </row>
    <row r="356" spans="1:36" x14ac:dyDescent="0.25">
      <c r="A356" s="57"/>
      <c r="B356" s="57"/>
      <c r="C356" s="57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  <c r="O356" s="57"/>
      <c r="P356" s="57"/>
      <c r="Q356" s="57"/>
      <c r="R356" s="57"/>
      <c r="S356" s="57"/>
      <c r="T356" s="57"/>
      <c r="U356" s="57"/>
      <c r="V356" s="57"/>
      <c r="W356" s="57"/>
      <c r="X356" s="57"/>
      <c r="Y356" s="57"/>
      <c r="Z356" s="57"/>
      <c r="AA356" s="57"/>
      <c r="AB356" s="57"/>
      <c r="AC356" s="57"/>
      <c r="AD356" s="57"/>
      <c r="AE356" s="57"/>
      <c r="AF356" s="57"/>
      <c r="AG356" s="57"/>
      <c r="AH356" s="57"/>
      <c r="AI356" s="57"/>
      <c r="AJ356" s="57"/>
    </row>
    <row r="357" spans="1:36" x14ac:dyDescent="0.25">
      <c r="A357" s="57"/>
      <c r="B357" s="57"/>
      <c r="C357" s="57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  <c r="O357" s="57"/>
      <c r="P357" s="57"/>
      <c r="Q357" s="57"/>
      <c r="R357" s="57"/>
      <c r="S357" s="57"/>
      <c r="T357" s="57"/>
      <c r="U357" s="57"/>
      <c r="V357" s="57"/>
      <c r="W357" s="57"/>
      <c r="X357" s="57"/>
      <c r="Y357" s="57"/>
      <c r="Z357" s="57"/>
      <c r="AA357" s="57"/>
      <c r="AB357" s="57"/>
      <c r="AC357" s="57"/>
      <c r="AD357" s="57"/>
      <c r="AE357" s="57"/>
      <c r="AF357" s="57"/>
      <c r="AG357" s="57"/>
      <c r="AH357" s="57"/>
      <c r="AI357" s="57"/>
      <c r="AJ357" s="57"/>
    </row>
    <row r="358" spans="1:36" x14ac:dyDescent="0.25">
      <c r="A358" s="57"/>
      <c r="B358" s="57"/>
      <c r="C358" s="57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  <c r="O358" s="57"/>
      <c r="P358" s="57"/>
      <c r="Q358" s="57"/>
      <c r="R358" s="57"/>
      <c r="S358" s="57"/>
      <c r="T358" s="57"/>
      <c r="U358" s="57"/>
      <c r="V358" s="57"/>
      <c r="W358" s="57"/>
      <c r="X358" s="57"/>
      <c r="Y358" s="57"/>
      <c r="Z358" s="57"/>
      <c r="AA358" s="57"/>
      <c r="AB358" s="57"/>
      <c r="AC358" s="57"/>
      <c r="AD358" s="57"/>
      <c r="AE358" s="57"/>
      <c r="AF358" s="57"/>
      <c r="AG358" s="57"/>
      <c r="AH358" s="57"/>
      <c r="AI358" s="57"/>
      <c r="AJ358" s="57"/>
    </row>
    <row r="359" spans="1:36" x14ac:dyDescent="0.25">
      <c r="A359" s="57"/>
      <c r="B359" s="57"/>
      <c r="C359" s="57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  <c r="O359" s="57"/>
      <c r="P359" s="57"/>
      <c r="Q359" s="57"/>
      <c r="R359" s="57"/>
      <c r="S359" s="57"/>
      <c r="T359" s="57"/>
      <c r="U359" s="57"/>
      <c r="V359" s="57"/>
      <c r="W359" s="57"/>
      <c r="X359" s="57"/>
      <c r="Y359" s="57"/>
      <c r="Z359" s="57"/>
      <c r="AA359" s="57"/>
      <c r="AB359" s="57"/>
      <c r="AC359" s="57"/>
      <c r="AD359" s="57"/>
      <c r="AE359" s="57"/>
      <c r="AF359" s="57"/>
      <c r="AG359" s="57"/>
      <c r="AH359" s="57"/>
      <c r="AI359" s="57"/>
      <c r="AJ359" s="57"/>
    </row>
    <row r="360" spans="1:36" x14ac:dyDescent="0.25">
      <c r="A360" s="57"/>
      <c r="B360" s="57"/>
      <c r="C360" s="57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  <c r="O360" s="57"/>
      <c r="P360" s="57"/>
      <c r="Q360" s="57"/>
      <c r="R360" s="57"/>
      <c r="S360" s="57"/>
      <c r="T360" s="57"/>
      <c r="U360" s="57"/>
      <c r="V360" s="57"/>
      <c r="W360" s="57"/>
      <c r="X360" s="57"/>
      <c r="Y360" s="57"/>
      <c r="Z360" s="57"/>
      <c r="AA360" s="57"/>
      <c r="AB360" s="57"/>
      <c r="AC360" s="57"/>
      <c r="AD360" s="57"/>
      <c r="AE360" s="57"/>
      <c r="AF360" s="57"/>
      <c r="AG360" s="57"/>
      <c r="AH360" s="57"/>
      <c r="AI360" s="57"/>
      <c r="AJ360" s="57"/>
    </row>
    <row r="361" spans="1:36" x14ac:dyDescent="0.25">
      <c r="A361" s="57"/>
      <c r="B361" s="57"/>
      <c r="C361" s="57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  <c r="O361" s="57"/>
      <c r="P361" s="57"/>
      <c r="Q361" s="57"/>
      <c r="R361" s="57"/>
      <c r="S361" s="57"/>
      <c r="T361" s="57"/>
      <c r="U361" s="57"/>
      <c r="V361" s="57"/>
      <c r="W361" s="57"/>
      <c r="X361" s="57"/>
      <c r="Y361" s="57"/>
      <c r="Z361" s="57"/>
      <c r="AA361" s="57"/>
      <c r="AB361" s="57"/>
      <c r="AC361" s="57"/>
      <c r="AD361" s="57"/>
      <c r="AE361" s="57"/>
      <c r="AF361" s="57"/>
      <c r="AG361" s="57"/>
      <c r="AH361" s="57"/>
      <c r="AI361" s="57"/>
      <c r="AJ361" s="57"/>
    </row>
    <row r="362" spans="1:36" x14ac:dyDescent="0.25">
      <c r="A362" s="57"/>
      <c r="B362" s="57"/>
      <c r="C362" s="57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  <c r="O362" s="57"/>
      <c r="P362" s="57"/>
      <c r="Q362" s="57"/>
      <c r="R362" s="57"/>
      <c r="S362" s="57"/>
      <c r="T362" s="57"/>
      <c r="U362" s="57"/>
      <c r="V362" s="57"/>
      <c r="W362" s="57"/>
      <c r="X362" s="57"/>
      <c r="Y362" s="57"/>
      <c r="Z362" s="57"/>
      <c r="AA362" s="57"/>
      <c r="AB362" s="57"/>
      <c r="AC362" s="57"/>
      <c r="AD362" s="57"/>
      <c r="AE362" s="57"/>
      <c r="AF362" s="57"/>
      <c r="AG362" s="57"/>
      <c r="AH362" s="57"/>
      <c r="AI362" s="57"/>
      <c r="AJ362" s="57"/>
    </row>
    <row r="363" spans="1:36" x14ac:dyDescent="0.25">
      <c r="A363" s="57"/>
      <c r="B363" s="57"/>
      <c r="C363" s="57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  <c r="O363" s="57"/>
      <c r="P363" s="57"/>
      <c r="Q363" s="57"/>
      <c r="R363" s="57"/>
      <c r="S363" s="57"/>
      <c r="T363" s="57"/>
      <c r="U363" s="57"/>
      <c r="V363" s="57"/>
      <c r="W363" s="57"/>
      <c r="X363" s="57"/>
      <c r="Y363" s="57"/>
      <c r="Z363" s="57"/>
      <c r="AA363" s="57"/>
      <c r="AB363" s="57"/>
      <c r="AC363" s="57"/>
      <c r="AD363" s="57"/>
      <c r="AE363" s="57"/>
      <c r="AF363" s="57"/>
      <c r="AG363" s="57"/>
      <c r="AH363" s="57"/>
      <c r="AI363" s="57"/>
      <c r="AJ363" s="57"/>
    </row>
    <row r="364" spans="1:36" x14ac:dyDescent="0.25">
      <c r="A364" s="57"/>
      <c r="B364" s="57"/>
      <c r="C364" s="57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  <c r="O364" s="57"/>
      <c r="P364" s="57"/>
      <c r="Q364" s="57"/>
      <c r="R364" s="57"/>
      <c r="S364" s="57"/>
      <c r="T364" s="57"/>
      <c r="U364" s="57"/>
      <c r="V364" s="57"/>
      <c r="W364" s="57"/>
      <c r="X364" s="57"/>
      <c r="Y364" s="57"/>
      <c r="Z364" s="57"/>
      <c r="AA364" s="57"/>
      <c r="AB364" s="57"/>
      <c r="AC364" s="57"/>
      <c r="AD364" s="57"/>
      <c r="AE364" s="57"/>
      <c r="AF364" s="57"/>
      <c r="AG364" s="57"/>
      <c r="AH364" s="57"/>
      <c r="AI364" s="57"/>
      <c r="AJ364" s="57"/>
    </row>
    <row r="365" spans="1:36" x14ac:dyDescent="0.25">
      <c r="A365" s="57"/>
      <c r="B365" s="57"/>
      <c r="C365" s="57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  <c r="O365" s="57"/>
      <c r="P365" s="57"/>
      <c r="Q365" s="57"/>
      <c r="R365" s="57"/>
      <c r="S365" s="57"/>
      <c r="T365" s="57"/>
      <c r="U365" s="57"/>
      <c r="V365" s="57"/>
      <c r="W365" s="57"/>
      <c r="X365" s="57"/>
      <c r="Y365" s="57"/>
      <c r="Z365" s="57"/>
      <c r="AA365" s="57"/>
      <c r="AB365" s="57"/>
      <c r="AC365" s="57"/>
      <c r="AD365" s="57"/>
      <c r="AE365" s="57"/>
      <c r="AF365" s="57"/>
      <c r="AG365" s="57"/>
      <c r="AH365" s="57"/>
      <c r="AI365" s="57"/>
      <c r="AJ365" s="57"/>
    </row>
    <row r="366" spans="1:36" x14ac:dyDescent="0.25">
      <c r="A366" s="57"/>
      <c r="B366" s="57"/>
      <c r="C366" s="57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  <c r="O366" s="57"/>
      <c r="P366" s="57"/>
      <c r="Q366" s="57"/>
      <c r="R366" s="57"/>
      <c r="S366" s="57"/>
      <c r="T366" s="57"/>
      <c r="U366" s="57"/>
      <c r="V366" s="57"/>
      <c r="W366" s="57"/>
      <c r="X366" s="57"/>
      <c r="Y366" s="57"/>
      <c r="Z366" s="57"/>
      <c r="AA366" s="57"/>
      <c r="AB366" s="57"/>
      <c r="AC366" s="57"/>
      <c r="AD366" s="57"/>
      <c r="AE366" s="57"/>
      <c r="AF366" s="57"/>
      <c r="AG366" s="57"/>
      <c r="AH366" s="57"/>
      <c r="AI366" s="57"/>
      <c r="AJ366" s="57"/>
    </row>
    <row r="367" spans="1:36" x14ac:dyDescent="0.25">
      <c r="A367" s="57"/>
      <c r="B367" s="57"/>
      <c r="C367" s="57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  <c r="O367" s="57"/>
      <c r="P367" s="57"/>
      <c r="Q367" s="57"/>
      <c r="R367" s="57"/>
      <c r="S367" s="57"/>
      <c r="T367" s="57"/>
      <c r="U367" s="57"/>
      <c r="V367" s="57"/>
      <c r="W367" s="57"/>
      <c r="X367" s="57"/>
      <c r="Y367" s="57"/>
      <c r="Z367" s="57"/>
      <c r="AA367" s="57"/>
      <c r="AB367" s="57"/>
      <c r="AC367" s="57"/>
      <c r="AD367" s="57"/>
      <c r="AE367" s="57"/>
      <c r="AF367" s="57"/>
      <c r="AG367" s="57"/>
      <c r="AH367" s="57"/>
      <c r="AI367" s="57"/>
      <c r="AJ367" s="57"/>
    </row>
    <row r="368" spans="1:36" x14ac:dyDescent="0.25">
      <c r="A368" s="57"/>
      <c r="B368" s="57"/>
      <c r="C368" s="57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  <c r="O368" s="57"/>
      <c r="P368" s="57"/>
      <c r="Q368" s="57"/>
      <c r="R368" s="57"/>
      <c r="S368" s="57"/>
      <c r="T368" s="57"/>
      <c r="U368" s="57"/>
      <c r="V368" s="57"/>
      <c r="W368" s="57"/>
      <c r="X368" s="57"/>
      <c r="Y368" s="57"/>
      <c r="Z368" s="57"/>
      <c r="AA368" s="57"/>
      <c r="AB368" s="57"/>
      <c r="AC368" s="57"/>
      <c r="AD368" s="57"/>
      <c r="AE368" s="57"/>
      <c r="AF368" s="57"/>
      <c r="AG368" s="57"/>
      <c r="AH368" s="57"/>
      <c r="AI368" s="57"/>
      <c r="AJ368" s="57"/>
    </row>
    <row r="369" spans="1:36" x14ac:dyDescent="0.25">
      <c r="A369" s="57"/>
      <c r="B369" s="57"/>
      <c r="C369" s="57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  <c r="O369" s="57"/>
      <c r="P369" s="57"/>
      <c r="Q369" s="57"/>
      <c r="R369" s="57"/>
      <c r="S369" s="57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57"/>
      <c r="AG369" s="57"/>
      <c r="AH369" s="57"/>
      <c r="AI369" s="57"/>
      <c r="AJ369" s="57"/>
    </row>
    <row r="370" spans="1:36" x14ac:dyDescent="0.25">
      <c r="A370" s="57"/>
      <c r="B370" s="57"/>
      <c r="C370" s="57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  <c r="O370" s="57"/>
      <c r="P370" s="57"/>
      <c r="Q370" s="57"/>
      <c r="R370" s="57"/>
      <c r="S370" s="57"/>
      <c r="T370" s="57"/>
      <c r="U370" s="57"/>
      <c r="V370" s="57"/>
      <c r="W370" s="57"/>
      <c r="X370" s="57"/>
      <c r="Y370" s="57"/>
      <c r="Z370" s="57"/>
      <c r="AA370" s="57"/>
      <c r="AB370" s="57"/>
      <c r="AC370" s="57"/>
      <c r="AD370" s="57"/>
      <c r="AE370" s="57"/>
      <c r="AF370" s="57"/>
      <c r="AG370" s="57"/>
      <c r="AH370" s="57"/>
      <c r="AI370" s="57"/>
      <c r="AJ370" s="57"/>
    </row>
    <row r="371" spans="1:36" x14ac:dyDescent="0.25">
      <c r="A371" s="57"/>
      <c r="B371" s="57"/>
      <c r="C371" s="57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  <c r="O371" s="57"/>
      <c r="P371" s="57"/>
      <c r="Q371" s="57"/>
      <c r="R371" s="57"/>
      <c r="S371" s="57"/>
      <c r="T371" s="57"/>
      <c r="U371" s="57"/>
      <c r="V371" s="57"/>
      <c r="W371" s="57"/>
      <c r="X371" s="57"/>
      <c r="Y371" s="57"/>
      <c r="Z371" s="57"/>
      <c r="AA371" s="57"/>
      <c r="AB371" s="57"/>
      <c r="AC371" s="57"/>
      <c r="AD371" s="57"/>
      <c r="AE371" s="57"/>
      <c r="AF371" s="57"/>
      <c r="AG371" s="57"/>
      <c r="AH371" s="57"/>
      <c r="AI371" s="57"/>
      <c r="AJ371" s="57"/>
    </row>
    <row r="372" spans="1:36" x14ac:dyDescent="0.25">
      <c r="A372" s="57"/>
      <c r="B372" s="57"/>
      <c r="C372" s="57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  <c r="O372" s="57"/>
      <c r="P372" s="57"/>
      <c r="Q372" s="57"/>
      <c r="R372" s="57"/>
      <c r="S372" s="57"/>
      <c r="T372" s="57"/>
      <c r="U372" s="57"/>
      <c r="V372" s="57"/>
      <c r="W372" s="57"/>
      <c r="X372" s="57"/>
      <c r="Y372" s="57"/>
      <c r="Z372" s="57"/>
      <c r="AA372" s="57"/>
      <c r="AB372" s="57"/>
      <c r="AC372" s="57"/>
      <c r="AD372" s="57"/>
      <c r="AE372" s="57"/>
      <c r="AF372" s="57"/>
      <c r="AG372" s="57"/>
      <c r="AH372" s="57"/>
      <c r="AI372" s="57"/>
      <c r="AJ372" s="57"/>
    </row>
    <row r="373" spans="1:36" x14ac:dyDescent="0.25">
      <c r="A373" s="57"/>
      <c r="B373" s="57"/>
      <c r="C373" s="57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  <c r="O373" s="57"/>
      <c r="P373" s="57"/>
      <c r="Q373" s="57"/>
      <c r="R373" s="57"/>
      <c r="S373" s="57"/>
      <c r="T373" s="57"/>
      <c r="U373" s="57"/>
      <c r="V373" s="57"/>
      <c r="W373" s="57"/>
      <c r="X373" s="57"/>
      <c r="Y373" s="57"/>
      <c r="Z373" s="57"/>
      <c r="AA373" s="57"/>
      <c r="AB373" s="57"/>
      <c r="AC373" s="57"/>
      <c r="AD373" s="57"/>
      <c r="AE373" s="57"/>
      <c r="AF373" s="57"/>
      <c r="AG373" s="57"/>
      <c r="AH373" s="57"/>
      <c r="AI373" s="57"/>
      <c r="AJ373" s="57"/>
    </row>
    <row r="374" spans="1:36" x14ac:dyDescent="0.25">
      <c r="A374" s="57"/>
      <c r="B374" s="57"/>
      <c r="C374" s="57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  <c r="O374" s="57"/>
      <c r="P374" s="57"/>
      <c r="Q374" s="57"/>
      <c r="R374" s="57"/>
      <c r="S374" s="57"/>
      <c r="T374" s="57"/>
      <c r="U374" s="57"/>
      <c r="V374" s="57"/>
      <c r="W374" s="57"/>
      <c r="X374" s="57"/>
      <c r="Y374" s="57"/>
      <c r="Z374" s="57"/>
      <c r="AA374" s="57"/>
      <c r="AB374" s="57"/>
      <c r="AC374" s="57"/>
      <c r="AD374" s="57"/>
      <c r="AE374" s="57"/>
      <c r="AF374" s="57"/>
      <c r="AG374" s="57"/>
      <c r="AH374" s="57"/>
      <c r="AI374" s="57"/>
      <c r="AJ374" s="57"/>
    </row>
    <row r="375" spans="1:36" x14ac:dyDescent="0.25">
      <c r="A375" s="57"/>
      <c r="B375" s="57"/>
      <c r="C375" s="57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  <c r="O375" s="57"/>
      <c r="P375" s="57"/>
      <c r="Q375" s="57"/>
      <c r="R375" s="57"/>
      <c r="S375" s="57"/>
      <c r="T375" s="57"/>
      <c r="U375" s="57"/>
      <c r="V375" s="57"/>
      <c r="W375" s="57"/>
      <c r="X375" s="57"/>
      <c r="Y375" s="57"/>
      <c r="Z375" s="57"/>
      <c r="AA375" s="57"/>
      <c r="AB375" s="57"/>
      <c r="AC375" s="57"/>
      <c r="AD375" s="57"/>
      <c r="AE375" s="57"/>
      <c r="AF375" s="57"/>
      <c r="AG375" s="57"/>
      <c r="AH375" s="57"/>
      <c r="AI375" s="57"/>
      <c r="AJ375" s="57"/>
    </row>
    <row r="376" spans="1:36" x14ac:dyDescent="0.25">
      <c r="A376" s="57"/>
      <c r="B376" s="57"/>
      <c r="C376" s="57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  <c r="O376" s="57"/>
      <c r="P376" s="57"/>
      <c r="Q376" s="57"/>
      <c r="R376" s="57"/>
      <c r="S376" s="57"/>
      <c r="T376" s="57"/>
      <c r="U376" s="57"/>
      <c r="V376" s="57"/>
      <c r="W376" s="57"/>
      <c r="X376" s="57"/>
      <c r="Y376" s="57"/>
      <c r="Z376" s="57"/>
      <c r="AA376" s="57"/>
      <c r="AB376" s="57"/>
      <c r="AC376" s="57"/>
      <c r="AD376" s="57"/>
      <c r="AE376" s="57"/>
      <c r="AF376" s="57"/>
      <c r="AG376" s="57"/>
      <c r="AH376" s="57"/>
      <c r="AI376" s="57"/>
      <c r="AJ376" s="57"/>
    </row>
    <row r="377" spans="1:36" x14ac:dyDescent="0.25">
      <c r="A377" s="57"/>
      <c r="B377" s="57"/>
      <c r="C377" s="57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  <c r="O377" s="57"/>
      <c r="P377" s="57"/>
      <c r="Q377" s="57"/>
      <c r="R377" s="57"/>
      <c r="S377" s="57"/>
      <c r="T377" s="57"/>
      <c r="U377" s="57"/>
      <c r="V377" s="57"/>
      <c r="W377" s="57"/>
      <c r="X377" s="57"/>
      <c r="Y377" s="57"/>
      <c r="Z377" s="57"/>
      <c r="AA377" s="57"/>
      <c r="AB377" s="57"/>
      <c r="AC377" s="57"/>
      <c r="AD377" s="57"/>
      <c r="AE377" s="57"/>
      <c r="AF377" s="57"/>
      <c r="AG377" s="57"/>
      <c r="AH377" s="57"/>
      <c r="AI377" s="57"/>
      <c r="AJ377" s="57"/>
    </row>
    <row r="378" spans="1:36" x14ac:dyDescent="0.25">
      <c r="A378" s="57"/>
      <c r="B378" s="57"/>
      <c r="C378" s="57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  <c r="O378" s="57"/>
      <c r="P378" s="57"/>
      <c r="Q378" s="57"/>
      <c r="R378" s="57"/>
      <c r="S378" s="57"/>
      <c r="T378" s="57"/>
      <c r="U378" s="57"/>
      <c r="V378" s="57"/>
      <c r="W378" s="57"/>
      <c r="X378" s="57"/>
      <c r="Y378" s="57"/>
      <c r="Z378" s="57"/>
      <c r="AA378" s="57"/>
      <c r="AB378" s="57"/>
      <c r="AC378" s="57"/>
      <c r="AD378" s="57"/>
      <c r="AE378" s="57"/>
      <c r="AF378" s="57"/>
      <c r="AG378" s="57"/>
      <c r="AH378" s="57"/>
      <c r="AI378" s="57"/>
      <c r="AJ378" s="57"/>
    </row>
    <row r="379" spans="1:36" x14ac:dyDescent="0.25">
      <c r="A379" s="57"/>
      <c r="B379" s="57"/>
      <c r="C379" s="57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  <c r="O379" s="57"/>
      <c r="P379" s="57"/>
      <c r="Q379" s="57"/>
      <c r="R379" s="57"/>
      <c r="S379" s="57"/>
      <c r="T379" s="57"/>
      <c r="U379" s="57"/>
      <c r="V379" s="57"/>
      <c r="W379" s="57"/>
      <c r="X379" s="57"/>
      <c r="Y379" s="57"/>
      <c r="Z379" s="57"/>
      <c r="AA379" s="57"/>
      <c r="AB379" s="57"/>
      <c r="AC379" s="57"/>
      <c r="AD379" s="57"/>
      <c r="AE379" s="57"/>
      <c r="AF379" s="57"/>
      <c r="AG379" s="57"/>
      <c r="AH379" s="57"/>
      <c r="AI379" s="57"/>
      <c r="AJ379" s="57"/>
    </row>
    <row r="380" spans="1:36" x14ac:dyDescent="0.25">
      <c r="A380" s="57"/>
      <c r="B380" s="57"/>
      <c r="C380" s="57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  <c r="O380" s="57"/>
      <c r="P380" s="57"/>
      <c r="Q380" s="57"/>
      <c r="R380" s="57"/>
      <c r="S380" s="57"/>
      <c r="T380" s="57"/>
      <c r="U380" s="57"/>
      <c r="V380" s="57"/>
      <c r="W380" s="57"/>
      <c r="X380" s="57"/>
      <c r="Y380" s="57"/>
      <c r="Z380" s="57"/>
      <c r="AA380" s="57"/>
      <c r="AB380" s="57"/>
      <c r="AC380" s="57"/>
      <c r="AD380" s="57"/>
      <c r="AE380" s="57"/>
      <c r="AF380" s="57"/>
      <c r="AG380" s="57"/>
      <c r="AH380" s="57"/>
      <c r="AI380" s="57"/>
      <c r="AJ380" s="57"/>
    </row>
    <row r="381" spans="1:36" x14ac:dyDescent="0.25">
      <c r="A381" s="57"/>
      <c r="B381" s="57"/>
      <c r="C381" s="57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  <c r="O381" s="57"/>
      <c r="P381" s="57"/>
      <c r="Q381" s="57"/>
      <c r="R381" s="57"/>
      <c r="S381" s="57"/>
      <c r="T381" s="57"/>
      <c r="U381" s="57"/>
      <c r="V381" s="57"/>
      <c r="W381" s="57"/>
      <c r="X381" s="57"/>
      <c r="Y381" s="57"/>
      <c r="Z381" s="57"/>
      <c r="AA381" s="57"/>
      <c r="AB381" s="57"/>
      <c r="AC381" s="57"/>
      <c r="AD381" s="57"/>
      <c r="AE381" s="57"/>
      <c r="AF381" s="57"/>
      <c r="AG381" s="57"/>
      <c r="AH381" s="57"/>
      <c r="AI381" s="57"/>
      <c r="AJ381" s="57"/>
    </row>
    <row r="382" spans="1:36" x14ac:dyDescent="0.25">
      <c r="A382" s="57"/>
      <c r="B382" s="57"/>
      <c r="C382" s="57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  <c r="O382" s="57"/>
      <c r="P382" s="57"/>
      <c r="Q382" s="57"/>
      <c r="R382" s="57"/>
      <c r="S382" s="57"/>
      <c r="T382" s="57"/>
      <c r="U382" s="57"/>
      <c r="V382" s="57"/>
      <c r="W382" s="57"/>
      <c r="X382" s="57"/>
      <c r="Y382" s="57"/>
      <c r="Z382" s="57"/>
      <c r="AA382" s="57"/>
      <c r="AB382" s="57"/>
      <c r="AC382" s="57"/>
      <c r="AD382" s="57"/>
      <c r="AE382" s="57"/>
      <c r="AF382" s="57"/>
      <c r="AG382" s="57"/>
      <c r="AH382" s="57"/>
      <c r="AI382" s="57"/>
      <c r="AJ382" s="57"/>
    </row>
    <row r="383" spans="1:36" x14ac:dyDescent="0.25">
      <c r="A383" s="57"/>
      <c r="B383" s="57"/>
      <c r="C383" s="57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  <c r="O383" s="57"/>
      <c r="P383" s="57"/>
      <c r="Q383" s="57"/>
      <c r="R383" s="57"/>
      <c r="S383" s="57"/>
      <c r="T383" s="57"/>
      <c r="U383" s="57"/>
      <c r="V383" s="57"/>
      <c r="W383" s="57"/>
      <c r="X383" s="57"/>
      <c r="Y383" s="57"/>
      <c r="Z383" s="57"/>
      <c r="AA383" s="57"/>
      <c r="AB383" s="57"/>
      <c r="AC383" s="57"/>
      <c r="AD383" s="57"/>
      <c r="AE383" s="57"/>
      <c r="AF383" s="57"/>
      <c r="AG383" s="57"/>
      <c r="AH383" s="57"/>
      <c r="AI383" s="57"/>
      <c r="AJ383" s="57"/>
    </row>
    <row r="384" spans="1:36" x14ac:dyDescent="0.25">
      <c r="A384" s="57"/>
      <c r="B384" s="57"/>
      <c r="C384" s="57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  <c r="O384" s="57"/>
      <c r="P384" s="57"/>
      <c r="Q384" s="57"/>
      <c r="R384" s="57"/>
      <c r="S384" s="57"/>
      <c r="T384" s="57"/>
      <c r="U384" s="57"/>
      <c r="V384" s="57"/>
      <c r="W384" s="57"/>
      <c r="X384" s="57"/>
      <c r="Y384" s="57"/>
      <c r="Z384" s="57"/>
      <c r="AA384" s="57"/>
      <c r="AB384" s="57"/>
      <c r="AC384" s="57"/>
      <c r="AD384" s="57"/>
      <c r="AE384" s="57"/>
      <c r="AF384" s="57"/>
      <c r="AG384" s="57"/>
      <c r="AH384" s="57"/>
      <c r="AI384" s="57"/>
      <c r="AJ384" s="57"/>
    </row>
    <row r="385" spans="1:36" x14ac:dyDescent="0.25">
      <c r="A385" s="57"/>
      <c r="B385" s="57"/>
      <c r="C385" s="57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  <c r="O385" s="57"/>
      <c r="P385" s="57"/>
      <c r="Q385" s="57"/>
      <c r="R385" s="57"/>
      <c r="S385" s="57"/>
      <c r="T385" s="57"/>
      <c r="U385" s="57"/>
      <c r="V385" s="57"/>
      <c r="W385" s="57"/>
      <c r="X385" s="57"/>
      <c r="Y385" s="57"/>
      <c r="Z385" s="57"/>
      <c r="AA385" s="57"/>
      <c r="AB385" s="57"/>
      <c r="AC385" s="57"/>
      <c r="AD385" s="57"/>
      <c r="AE385" s="57"/>
      <c r="AF385" s="57"/>
      <c r="AG385" s="57"/>
      <c r="AH385" s="57"/>
      <c r="AI385" s="57"/>
      <c r="AJ385" s="57"/>
    </row>
    <row r="386" spans="1:36" x14ac:dyDescent="0.25">
      <c r="A386" s="57"/>
      <c r="B386" s="57"/>
      <c r="C386" s="57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  <c r="O386" s="57"/>
      <c r="P386" s="57"/>
      <c r="Q386" s="57"/>
      <c r="R386" s="57"/>
      <c r="S386" s="57"/>
      <c r="T386" s="57"/>
      <c r="U386" s="57"/>
      <c r="V386" s="57"/>
      <c r="W386" s="57"/>
      <c r="X386" s="57"/>
      <c r="Y386" s="57"/>
      <c r="Z386" s="57"/>
      <c r="AA386" s="57"/>
      <c r="AB386" s="57"/>
      <c r="AC386" s="57"/>
      <c r="AD386" s="57"/>
      <c r="AE386" s="57"/>
      <c r="AF386" s="57"/>
      <c r="AG386" s="57"/>
      <c r="AH386" s="57"/>
      <c r="AI386" s="57"/>
      <c r="AJ386" s="57"/>
    </row>
    <row r="387" spans="1:36" x14ac:dyDescent="0.25">
      <c r="A387" s="57"/>
      <c r="B387" s="57"/>
      <c r="C387" s="57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  <c r="O387" s="57"/>
      <c r="P387" s="57"/>
      <c r="Q387" s="57"/>
      <c r="R387" s="57"/>
      <c r="S387" s="57"/>
      <c r="T387" s="57"/>
      <c r="U387" s="57"/>
      <c r="V387" s="57"/>
      <c r="W387" s="57"/>
      <c r="X387" s="57"/>
      <c r="Y387" s="57"/>
      <c r="Z387" s="57"/>
      <c r="AA387" s="57"/>
      <c r="AB387" s="57"/>
      <c r="AC387" s="57"/>
      <c r="AD387" s="57"/>
      <c r="AE387" s="57"/>
      <c r="AF387" s="57"/>
      <c r="AG387" s="57"/>
      <c r="AH387" s="57"/>
      <c r="AI387" s="57"/>
      <c r="AJ387" s="57"/>
    </row>
    <row r="388" spans="1:36" x14ac:dyDescent="0.25">
      <c r="A388" s="57"/>
      <c r="B388" s="57"/>
      <c r="C388" s="57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  <c r="O388" s="57"/>
      <c r="P388" s="57"/>
      <c r="Q388" s="57"/>
      <c r="R388" s="57"/>
      <c r="S388" s="57"/>
      <c r="T388" s="57"/>
      <c r="U388" s="57"/>
      <c r="V388" s="57"/>
      <c r="W388" s="57"/>
      <c r="X388" s="57"/>
      <c r="Y388" s="57"/>
      <c r="Z388" s="57"/>
      <c r="AA388" s="57"/>
      <c r="AB388" s="57"/>
      <c r="AC388" s="57"/>
      <c r="AD388" s="57"/>
      <c r="AE388" s="57"/>
      <c r="AF388" s="57"/>
      <c r="AG388" s="57"/>
      <c r="AH388" s="57"/>
      <c r="AI388" s="57"/>
      <c r="AJ388" s="57"/>
    </row>
    <row r="389" spans="1:36" x14ac:dyDescent="0.25">
      <c r="A389" s="57"/>
      <c r="B389" s="57"/>
      <c r="C389" s="57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  <c r="O389" s="57"/>
      <c r="P389" s="57"/>
      <c r="Q389" s="57"/>
      <c r="R389" s="57"/>
      <c r="S389" s="57"/>
      <c r="T389" s="57"/>
      <c r="U389" s="57"/>
      <c r="V389" s="57"/>
      <c r="W389" s="57"/>
      <c r="X389" s="57"/>
      <c r="Y389" s="57"/>
      <c r="Z389" s="57"/>
      <c r="AA389" s="57"/>
      <c r="AB389" s="57"/>
      <c r="AC389" s="57"/>
      <c r="AD389" s="57"/>
      <c r="AE389" s="57"/>
      <c r="AF389" s="57"/>
      <c r="AG389" s="57"/>
      <c r="AH389" s="57"/>
      <c r="AI389" s="57"/>
      <c r="AJ389" s="57"/>
    </row>
    <row r="390" spans="1:36" x14ac:dyDescent="0.25">
      <c r="A390" s="57"/>
      <c r="B390" s="57"/>
      <c r="C390" s="57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  <c r="O390" s="57"/>
      <c r="P390" s="57"/>
      <c r="Q390" s="57"/>
      <c r="R390" s="57"/>
      <c r="S390" s="57"/>
      <c r="T390" s="57"/>
      <c r="U390" s="57"/>
      <c r="V390" s="57"/>
      <c r="W390" s="57"/>
      <c r="X390" s="57"/>
      <c r="Y390" s="57"/>
      <c r="Z390" s="57"/>
      <c r="AA390" s="57"/>
      <c r="AB390" s="57"/>
      <c r="AC390" s="57"/>
      <c r="AD390" s="57"/>
      <c r="AE390" s="57"/>
      <c r="AF390" s="57"/>
      <c r="AG390" s="57"/>
      <c r="AH390" s="57"/>
      <c r="AI390" s="57"/>
      <c r="AJ390" s="57"/>
    </row>
    <row r="391" spans="1:36" x14ac:dyDescent="0.25">
      <c r="A391" s="57"/>
      <c r="B391" s="57"/>
      <c r="C391" s="57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  <c r="O391" s="57"/>
      <c r="P391" s="57"/>
      <c r="Q391" s="57"/>
      <c r="R391" s="57"/>
      <c r="S391" s="57"/>
      <c r="T391" s="57"/>
      <c r="U391" s="57"/>
      <c r="V391" s="57"/>
      <c r="W391" s="57"/>
      <c r="X391" s="57"/>
      <c r="Y391" s="57"/>
      <c r="Z391" s="57"/>
      <c r="AA391" s="57"/>
      <c r="AB391" s="57"/>
      <c r="AC391" s="57"/>
      <c r="AD391" s="57"/>
      <c r="AE391" s="57"/>
      <c r="AF391" s="57"/>
      <c r="AG391" s="57"/>
      <c r="AH391" s="57"/>
      <c r="AI391" s="57"/>
      <c r="AJ391" s="57"/>
    </row>
    <row r="392" spans="1:36" x14ac:dyDescent="0.25">
      <c r="A392" s="57"/>
      <c r="B392" s="57"/>
      <c r="C392" s="57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  <c r="O392" s="57"/>
      <c r="P392" s="57"/>
      <c r="Q392" s="57"/>
      <c r="R392" s="57"/>
      <c r="S392" s="57"/>
      <c r="T392" s="57"/>
      <c r="U392" s="57"/>
      <c r="V392" s="57"/>
      <c r="W392" s="57"/>
      <c r="X392" s="57"/>
      <c r="Y392" s="57"/>
      <c r="Z392" s="57"/>
      <c r="AA392" s="57"/>
      <c r="AB392" s="57"/>
      <c r="AC392" s="57"/>
      <c r="AD392" s="57"/>
      <c r="AE392" s="57"/>
      <c r="AF392" s="57"/>
      <c r="AG392" s="57"/>
      <c r="AH392" s="57"/>
      <c r="AI392" s="57"/>
      <c r="AJ392" s="57"/>
    </row>
    <row r="393" spans="1:36" x14ac:dyDescent="0.25">
      <c r="A393" s="57"/>
      <c r="B393" s="57"/>
      <c r="C393" s="57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  <c r="O393" s="57"/>
      <c r="P393" s="57"/>
      <c r="Q393" s="57"/>
      <c r="R393" s="57"/>
      <c r="S393" s="57"/>
      <c r="T393" s="57"/>
      <c r="U393" s="57"/>
      <c r="V393" s="57"/>
      <c r="W393" s="57"/>
      <c r="X393" s="57"/>
      <c r="Y393" s="57"/>
      <c r="Z393" s="57"/>
      <c r="AA393" s="57"/>
      <c r="AB393" s="57"/>
      <c r="AC393" s="57"/>
      <c r="AD393" s="57"/>
      <c r="AE393" s="57"/>
      <c r="AF393" s="57"/>
      <c r="AG393" s="57"/>
      <c r="AH393" s="57"/>
      <c r="AI393" s="57"/>
      <c r="AJ393" s="57"/>
    </row>
    <row r="394" spans="1:36" x14ac:dyDescent="0.25">
      <c r="A394" s="57"/>
      <c r="B394" s="57"/>
      <c r="C394" s="57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  <c r="O394" s="57"/>
      <c r="P394" s="57"/>
      <c r="Q394" s="57"/>
      <c r="R394" s="57"/>
      <c r="S394" s="57"/>
      <c r="T394" s="57"/>
      <c r="U394" s="57"/>
      <c r="V394" s="57"/>
      <c r="W394" s="57"/>
      <c r="X394" s="57"/>
      <c r="Y394" s="57"/>
      <c r="Z394" s="57"/>
      <c r="AA394" s="57"/>
      <c r="AB394" s="57"/>
      <c r="AC394" s="57"/>
      <c r="AD394" s="57"/>
      <c r="AE394" s="57"/>
      <c r="AF394" s="57"/>
      <c r="AG394" s="57"/>
      <c r="AH394" s="57"/>
      <c r="AI394" s="57"/>
      <c r="AJ394" s="57"/>
    </row>
    <row r="395" spans="1:36" x14ac:dyDescent="0.25">
      <c r="A395" s="57"/>
      <c r="B395" s="57"/>
      <c r="C395" s="57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  <c r="O395" s="57"/>
      <c r="P395" s="57"/>
      <c r="Q395" s="57"/>
      <c r="R395" s="57"/>
      <c r="S395" s="57"/>
      <c r="T395" s="57"/>
      <c r="U395" s="57"/>
      <c r="V395" s="57"/>
      <c r="W395" s="57"/>
      <c r="X395" s="57"/>
      <c r="Y395" s="57"/>
      <c r="Z395" s="57"/>
      <c r="AA395" s="57"/>
      <c r="AB395" s="57"/>
      <c r="AC395" s="57"/>
      <c r="AD395" s="57"/>
      <c r="AE395" s="57"/>
      <c r="AF395" s="57"/>
      <c r="AG395" s="57"/>
      <c r="AH395" s="57"/>
      <c r="AI395" s="57"/>
      <c r="AJ395" s="57"/>
    </row>
    <row r="396" spans="1:36" x14ac:dyDescent="0.25">
      <c r="A396" s="57"/>
      <c r="B396" s="57"/>
      <c r="C396" s="57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  <c r="O396" s="57"/>
      <c r="P396" s="57"/>
      <c r="Q396" s="57"/>
      <c r="R396" s="57"/>
      <c r="S396" s="57"/>
      <c r="T396" s="57"/>
      <c r="U396" s="57"/>
      <c r="V396" s="57"/>
      <c r="W396" s="57"/>
      <c r="X396" s="57"/>
      <c r="Y396" s="57"/>
      <c r="Z396" s="57"/>
      <c r="AA396" s="57"/>
      <c r="AB396" s="57"/>
      <c r="AC396" s="57"/>
      <c r="AD396" s="57"/>
      <c r="AE396" s="57"/>
      <c r="AF396" s="57"/>
      <c r="AG396" s="57"/>
      <c r="AH396" s="57"/>
      <c r="AI396" s="57"/>
      <c r="AJ396" s="57"/>
    </row>
    <row r="397" spans="1:36" x14ac:dyDescent="0.25">
      <c r="A397" s="57"/>
      <c r="B397" s="57"/>
      <c r="C397" s="57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  <c r="O397" s="57"/>
      <c r="P397" s="57"/>
      <c r="Q397" s="57"/>
      <c r="R397" s="57"/>
      <c r="S397" s="57"/>
      <c r="T397" s="57"/>
      <c r="U397" s="57"/>
      <c r="V397" s="57"/>
      <c r="W397" s="57"/>
      <c r="X397" s="57"/>
      <c r="Y397" s="57"/>
      <c r="Z397" s="57"/>
      <c r="AA397" s="57"/>
      <c r="AB397" s="57"/>
      <c r="AC397" s="57"/>
      <c r="AD397" s="57"/>
      <c r="AE397" s="57"/>
      <c r="AF397" s="57"/>
      <c r="AG397" s="57"/>
      <c r="AH397" s="57"/>
      <c r="AI397" s="57"/>
      <c r="AJ397" s="57"/>
    </row>
    <row r="398" spans="1:36" x14ac:dyDescent="0.25">
      <c r="A398" s="57"/>
      <c r="B398" s="57"/>
      <c r="C398" s="57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  <c r="O398" s="57"/>
      <c r="P398" s="57"/>
      <c r="Q398" s="57"/>
      <c r="R398" s="57"/>
      <c r="S398" s="57"/>
      <c r="T398" s="57"/>
      <c r="U398" s="57"/>
      <c r="V398" s="57"/>
      <c r="W398" s="57"/>
      <c r="X398" s="57"/>
      <c r="Y398" s="57"/>
      <c r="Z398" s="57"/>
      <c r="AA398" s="57"/>
      <c r="AB398" s="57"/>
      <c r="AC398" s="57"/>
      <c r="AD398" s="57"/>
      <c r="AE398" s="57"/>
      <c r="AF398" s="57"/>
      <c r="AG398" s="57"/>
      <c r="AH398" s="57"/>
      <c r="AI398" s="57"/>
      <c r="AJ398" s="57"/>
    </row>
    <row r="399" spans="1:36" x14ac:dyDescent="0.25">
      <c r="A399" s="57"/>
      <c r="B399" s="57"/>
      <c r="C399" s="57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  <c r="O399" s="57"/>
      <c r="P399" s="57"/>
      <c r="Q399" s="57"/>
      <c r="R399" s="57"/>
      <c r="S399" s="57"/>
      <c r="T399" s="57"/>
      <c r="U399" s="57"/>
      <c r="V399" s="57"/>
      <c r="W399" s="57"/>
      <c r="X399" s="57"/>
      <c r="Y399" s="57"/>
      <c r="Z399" s="57"/>
      <c r="AA399" s="57"/>
      <c r="AB399" s="57"/>
      <c r="AC399" s="57"/>
      <c r="AD399" s="57"/>
      <c r="AE399" s="57"/>
      <c r="AF399" s="57"/>
      <c r="AG399" s="57"/>
      <c r="AH399" s="57"/>
      <c r="AI399" s="57"/>
      <c r="AJ399" s="57"/>
    </row>
    <row r="400" spans="1:36" x14ac:dyDescent="0.25">
      <c r="A400" s="57"/>
      <c r="B400" s="57"/>
      <c r="C400" s="57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  <c r="O400" s="57"/>
      <c r="P400" s="57"/>
      <c r="Q400" s="57"/>
      <c r="R400" s="57"/>
      <c r="S400" s="57"/>
      <c r="T400" s="57"/>
      <c r="U400" s="57"/>
      <c r="V400" s="57"/>
      <c r="W400" s="57"/>
      <c r="X400" s="57"/>
      <c r="Y400" s="57"/>
      <c r="Z400" s="57"/>
      <c r="AA400" s="57"/>
      <c r="AB400" s="57"/>
      <c r="AC400" s="57"/>
      <c r="AD400" s="57"/>
      <c r="AE400" s="57"/>
      <c r="AF400" s="57"/>
      <c r="AG400" s="57"/>
      <c r="AH400" s="57"/>
      <c r="AI400" s="57"/>
      <c r="AJ400" s="57"/>
    </row>
    <row r="401" spans="1:36" x14ac:dyDescent="0.25">
      <c r="A401" s="57"/>
      <c r="B401" s="57"/>
      <c r="C401" s="57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  <c r="O401" s="57"/>
      <c r="P401" s="57"/>
      <c r="Q401" s="57"/>
      <c r="R401" s="57"/>
      <c r="S401" s="57"/>
      <c r="T401" s="57"/>
      <c r="U401" s="57"/>
      <c r="V401" s="57"/>
      <c r="W401" s="57"/>
      <c r="X401" s="57"/>
      <c r="Y401" s="57"/>
      <c r="Z401" s="57"/>
      <c r="AA401" s="57"/>
      <c r="AB401" s="57"/>
      <c r="AC401" s="57"/>
      <c r="AD401" s="57"/>
      <c r="AE401" s="57"/>
      <c r="AF401" s="57"/>
      <c r="AG401" s="57"/>
      <c r="AH401" s="57"/>
      <c r="AI401" s="57"/>
      <c r="AJ401" s="57"/>
    </row>
    <row r="402" spans="1:36" x14ac:dyDescent="0.25">
      <c r="A402" s="57"/>
      <c r="B402" s="57"/>
      <c r="C402" s="57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  <c r="O402" s="57"/>
      <c r="P402" s="57"/>
      <c r="Q402" s="57"/>
      <c r="R402" s="57"/>
      <c r="S402" s="57"/>
      <c r="T402" s="57"/>
      <c r="U402" s="57"/>
      <c r="V402" s="57"/>
      <c r="W402" s="57"/>
      <c r="X402" s="57"/>
      <c r="Y402" s="57"/>
      <c r="Z402" s="57"/>
      <c r="AA402" s="57"/>
      <c r="AB402" s="57"/>
      <c r="AC402" s="57"/>
      <c r="AD402" s="57"/>
      <c r="AE402" s="57"/>
      <c r="AF402" s="57"/>
      <c r="AG402" s="57"/>
      <c r="AH402" s="57"/>
      <c r="AI402" s="57"/>
      <c r="AJ402" s="57"/>
    </row>
    <row r="403" spans="1:36" x14ac:dyDescent="0.25">
      <c r="A403" s="57"/>
      <c r="B403" s="57"/>
      <c r="C403" s="57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  <c r="O403" s="57"/>
      <c r="P403" s="57"/>
      <c r="Q403" s="57"/>
      <c r="R403" s="57"/>
      <c r="S403" s="57"/>
      <c r="T403" s="57"/>
      <c r="U403" s="57"/>
      <c r="V403" s="57"/>
      <c r="W403" s="57"/>
      <c r="X403" s="57"/>
      <c r="Y403" s="57"/>
      <c r="Z403" s="57"/>
      <c r="AA403" s="57"/>
      <c r="AB403" s="57"/>
      <c r="AC403" s="57"/>
      <c r="AD403" s="57"/>
      <c r="AE403" s="57"/>
      <c r="AF403" s="57"/>
      <c r="AG403" s="57"/>
      <c r="AH403" s="57"/>
      <c r="AI403" s="57"/>
      <c r="AJ403" s="57"/>
    </row>
    <row r="404" spans="1:36" x14ac:dyDescent="0.25">
      <c r="A404" s="57"/>
      <c r="B404" s="57"/>
      <c r="C404" s="57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  <c r="U404" s="57"/>
      <c r="V404" s="57"/>
      <c r="W404" s="57"/>
      <c r="X404" s="57"/>
      <c r="Y404" s="57"/>
      <c r="Z404" s="57"/>
      <c r="AA404" s="57"/>
      <c r="AB404" s="57"/>
      <c r="AC404" s="57"/>
      <c r="AD404" s="57"/>
      <c r="AE404" s="57"/>
      <c r="AF404" s="57"/>
      <c r="AG404" s="57"/>
      <c r="AH404" s="57"/>
      <c r="AI404" s="57"/>
      <c r="AJ404" s="57"/>
    </row>
    <row r="405" spans="1:36" x14ac:dyDescent="0.25">
      <c r="A405" s="57"/>
      <c r="B405" s="57"/>
      <c r="C405" s="57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  <c r="U405" s="57"/>
      <c r="V405" s="57"/>
      <c r="W405" s="57"/>
      <c r="X405" s="57"/>
      <c r="Y405" s="57"/>
      <c r="Z405" s="57"/>
      <c r="AA405" s="57"/>
      <c r="AB405" s="57"/>
      <c r="AC405" s="57"/>
      <c r="AD405" s="57"/>
      <c r="AE405" s="57"/>
      <c r="AF405" s="57"/>
      <c r="AG405" s="57"/>
      <c r="AH405" s="57"/>
      <c r="AI405" s="57"/>
      <c r="AJ405" s="57"/>
    </row>
    <row r="406" spans="1:36" x14ac:dyDescent="0.25">
      <c r="A406" s="57"/>
      <c r="B406" s="57"/>
      <c r="C406" s="57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  <c r="O406" s="57"/>
      <c r="P406" s="57"/>
      <c r="Q406" s="57"/>
      <c r="R406" s="57"/>
      <c r="S406" s="57"/>
      <c r="T406" s="57"/>
      <c r="U406" s="57"/>
      <c r="V406" s="57"/>
      <c r="W406" s="57"/>
      <c r="X406" s="57"/>
      <c r="Y406" s="57"/>
      <c r="Z406" s="57"/>
      <c r="AA406" s="57"/>
      <c r="AB406" s="57"/>
      <c r="AC406" s="57"/>
      <c r="AD406" s="57"/>
      <c r="AE406" s="57"/>
      <c r="AF406" s="57"/>
      <c r="AG406" s="57"/>
      <c r="AH406" s="57"/>
      <c r="AI406" s="57"/>
      <c r="AJ406" s="57"/>
    </row>
    <row r="407" spans="1:36" x14ac:dyDescent="0.25">
      <c r="A407" s="57"/>
      <c r="B407" s="57"/>
      <c r="C407" s="57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  <c r="O407" s="57"/>
      <c r="P407" s="57"/>
      <c r="Q407" s="57"/>
      <c r="R407" s="57"/>
      <c r="S407" s="57"/>
      <c r="T407" s="57"/>
      <c r="U407" s="57"/>
      <c r="V407" s="57"/>
      <c r="W407" s="57"/>
      <c r="X407" s="57"/>
      <c r="Y407" s="57"/>
      <c r="Z407" s="57"/>
      <c r="AA407" s="57"/>
      <c r="AB407" s="57"/>
      <c r="AC407" s="57"/>
      <c r="AD407" s="57"/>
      <c r="AE407" s="57"/>
      <c r="AF407" s="57"/>
      <c r="AG407" s="57"/>
      <c r="AH407" s="57"/>
      <c r="AI407" s="57"/>
      <c r="AJ407" s="57"/>
    </row>
    <row r="408" spans="1:36" x14ac:dyDescent="0.25">
      <c r="A408" s="57"/>
      <c r="B408" s="57"/>
      <c r="C408" s="57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  <c r="O408" s="57"/>
      <c r="P408" s="57"/>
      <c r="Q408" s="57"/>
      <c r="R408" s="57"/>
      <c r="S408" s="57"/>
      <c r="T408" s="57"/>
      <c r="U408" s="57"/>
      <c r="V408" s="57"/>
      <c r="W408" s="57"/>
      <c r="X408" s="57"/>
      <c r="Y408" s="57"/>
      <c r="Z408" s="57"/>
      <c r="AA408" s="57"/>
      <c r="AB408" s="57"/>
      <c r="AC408" s="57"/>
      <c r="AD408" s="57"/>
      <c r="AE408" s="57"/>
      <c r="AF408" s="57"/>
      <c r="AG408" s="57"/>
      <c r="AH408" s="57"/>
      <c r="AI408" s="57"/>
      <c r="AJ408" s="57"/>
    </row>
    <row r="409" spans="1:36" x14ac:dyDescent="0.25">
      <c r="A409" s="57"/>
      <c r="B409" s="57"/>
      <c r="C409" s="57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  <c r="O409" s="57"/>
      <c r="P409" s="57"/>
      <c r="Q409" s="57"/>
      <c r="R409" s="57"/>
      <c r="S409" s="57"/>
      <c r="T409" s="57"/>
      <c r="U409" s="57"/>
      <c r="V409" s="57"/>
      <c r="W409" s="57"/>
      <c r="X409" s="57"/>
      <c r="Y409" s="57"/>
      <c r="Z409" s="57"/>
      <c r="AA409" s="57"/>
      <c r="AB409" s="57"/>
      <c r="AC409" s="57"/>
      <c r="AD409" s="57"/>
      <c r="AE409" s="57"/>
      <c r="AF409" s="57"/>
      <c r="AG409" s="57"/>
      <c r="AH409" s="57"/>
      <c r="AI409" s="57"/>
      <c r="AJ409" s="57"/>
    </row>
    <row r="410" spans="1:36" x14ac:dyDescent="0.25">
      <c r="A410" s="57"/>
      <c r="B410" s="57"/>
      <c r="C410" s="57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  <c r="O410" s="57"/>
      <c r="P410" s="57"/>
      <c r="Q410" s="57"/>
      <c r="R410" s="57"/>
      <c r="S410" s="57"/>
      <c r="T410" s="57"/>
      <c r="U410" s="57"/>
      <c r="V410" s="57"/>
      <c r="W410" s="57"/>
      <c r="X410" s="57"/>
      <c r="Y410" s="57"/>
      <c r="Z410" s="57"/>
      <c r="AA410" s="57"/>
      <c r="AB410" s="57"/>
      <c r="AC410" s="57"/>
      <c r="AD410" s="57"/>
      <c r="AE410" s="57"/>
      <c r="AF410" s="57"/>
      <c r="AG410" s="57"/>
      <c r="AH410" s="57"/>
      <c r="AI410" s="57"/>
      <c r="AJ410" s="57"/>
    </row>
    <row r="411" spans="1:36" x14ac:dyDescent="0.25">
      <c r="A411" s="57"/>
      <c r="B411" s="57"/>
      <c r="C411" s="57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  <c r="O411" s="57"/>
      <c r="P411" s="57"/>
      <c r="Q411" s="57"/>
      <c r="R411" s="57"/>
      <c r="S411" s="57"/>
      <c r="T411" s="57"/>
      <c r="U411" s="57"/>
      <c r="V411" s="57"/>
      <c r="W411" s="57"/>
      <c r="X411" s="57"/>
      <c r="Y411" s="57"/>
      <c r="Z411" s="57"/>
      <c r="AA411" s="57"/>
      <c r="AB411" s="57"/>
      <c r="AC411" s="57"/>
      <c r="AD411" s="57"/>
      <c r="AE411" s="57"/>
      <c r="AF411" s="57"/>
      <c r="AG411" s="57"/>
      <c r="AH411" s="57"/>
      <c r="AI411" s="57"/>
      <c r="AJ411" s="57"/>
    </row>
    <row r="412" spans="1:36" x14ac:dyDescent="0.25">
      <c r="A412" s="57"/>
      <c r="B412" s="57"/>
      <c r="C412" s="57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  <c r="O412" s="57"/>
      <c r="P412" s="57"/>
      <c r="Q412" s="57"/>
      <c r="R412" s="57"/>
      <c r="S412" s="57"/>
      <c r="T412" s="57"/>
      <c r="U412" s="57"/>
      <c r="V412" s="57"/>
      <c r="W412" s="57"/>
      <c r="X412" s="57"/>
      <c r="Y412" s="57"/>
      <c r="Z412" s="57"/>
      <c r="AA412" s="57"/>
      <c r="AB412" s="57"/>
      <c r="AC412" s="57"/>
      <c r="AD412" s="57"/>
      <c r="AE412" s="57"/>
      <c r="AF412" s="57"/>
      <c r="AG412" s="57"/>
      <c r="AH412" s="57"/>
      <c r="AI412" s="57"/>
      <c r="AJ412" s="57"/>
    </row>
    <row r="413" spans="1:36" x14ac:dyDescent="0.25">
      <c r="A413" s="57"/>
      <c r="B413" s="57"/>
      <c r="C413" s="57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  <c r="O413" s="57"/>
      <c r="P413" s="57"/>
      <c r="Q413" s="57"/>
      <c r="R413" s="57"/>
      <c r="S413" s="57"/>
      <c r="T413" s="57"/>
      <c r="U413" s="57"/>
      <c r="V413" s="57"/>
      <c r="W413" s="57"/>
      <c r="X413" s="57"/>
      <c r="Y413" s="57"/>
      <c r="Z413" s="57"/>
      <c r="AA413" s="57"/>
      <c r="AB413" s="57"/>
      <c r="AC413" s="57"/>
      <c r="AD413" s="57"/>
      <c r="AE413" s="57"/>
      <c r="AF413" s="57"/>
      <c r="AG413" s="57"/>
      <c r="AH413" s="57"/>
      <c r="AI413" s="57"/>
      <c r="AJ413" s="57"/>
    </row>
    <row r="414" spans="1:36" x14ac:dyDescent="0.25">
      <c r="A414" s="57"/>
      <c r="B414" s="57"/>
      <c r="C414" s="57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  <c r="O414" s="57"/>
      <c r="P414" s="57"/>
      <c r="Q414" s="57"/>
      <c r="R414" s="57"/>
      <c r="S414" s="57"/>
      <c r="T414" s="57"/>
      <c r="U414" s="57"/>
      <c r="V414" s="57"/>
      <c r="W414" s="57"/>
      <c r="X414" s="57"/>
      <c r="Y414" s="57"/>
      <c r="Z414" s="57"/>
      <c r="AA414" s="57"/>
      <c r="AB414" s="57"/>
      <c r="AC414" s="57"/>
      <c r="AD414" s="57"/>
      <c r="AE414" s="57"/>
      <c r="AF414" s="57"/>
      <c r="AG414" s="57"/>
      <c r="AH414" s="57"/>
      <c r="AI414" s="57"/>
      <c r="AJ414" s="57"/>
    </row>
    <row r="415" spans="1:36" x14ac:dyDescent="0.25">
      <c r="A415" s="57"/>
      <c r="B415" s="57"/>
      <c r="C415" s="57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  <c r="O415" s="57"/>
      <c r="P415" s="57"/>
      <c r="Q415" s="57"/>
      <c r="R415" s="57"/>
      <c r="S415" s="57"/>
      <c r="T415" s="57"/>
      <c r="U415" s="57"/>
      <c r="V415" s="57"/>
      <c r="W415" s="57"/>
      <c r="X415" s="57"/>
      <c r="Y415" s="57"/>
      <c r="Z415" s="57"/>
      <c r="AA415" s="57"/>
      <c r="AB415" s="57"/>
      <c r="AC415" s="57"/>
      <c r="AD415" s="57"/>
      <c r="AE415" s="57"/>
      <c r="AF415" s="57"/>
      <c r="AG415" s="57"/>
      <c r="AH415" s="57"/>
      <c r="AI415" s="57"/>
      <c r="AJ415" s="57"/>
    </row>
    <row r="416" spans="1:36" x14ac:dyDescent="0.25">
      <c r="A416" s="57"/>
      <c r="B416" s="57"/>
      <c r="C416" s="57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  <c r="O416" s="57"/>
      <c r="P416" s="57"/>
      <c r="Q416" s="57"/>
      <c r="R416" s="57"/>
      <c r="S416" s="57"/>
      <c r="T416" s="57"/>
      <c r="U416" s="57"/>
      <c r="V416" s="57"/>
      <c r="W416" s="57"/>
      <c r="X416" s="57"/>
      <c r="Y416" s="57"/>
      <c r="Z416" s="57"/>
      <c r="AA416" s="57"/>
      <c r="AB416" s="57"/>
      <c r="AC416" s="57"/>
      <c r="AD416" s="57"/>
      <c r="AE416" s="57"/>
      <c r="AF416" s="57"/>
      <c r="AG416" s="57"/>
      <c r="AH416" s="57"/>
      <c r="AI416" s="57"/>
      <c r="AJ416" s="57"/>
    </row>
    <row r="417" spans="1:36" x14ac:dyDescent="0.25">
      <c r="A417" s="57"/>
      <c r="B417" s="57"/>
      <c r="C417" s="57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  <c r="O417" s="57"/>
      <c r="P417" s="57"/>
      <c r="Q417" s="57"/>
      <c r="R417" s="57"/>
      <c r="S417" s="57"/>
      <c r="T417" s="57"/>
      <c r="U417" s="57"/>
      <c r="V417" s="57"/>
      <c r="W417" s="57"/>
      <c r="X417" s="57"/>
      <c r="Y417" s="57"/>
      <c r="Z417" s="57"/>
      <c r="AA417" s="57"/>
      <c r="AB417" s="57"/>
      <c r="AC417" s="57"/>
      <c r="AD417" s="57"/>
      <c r="AE417" s="57"/>
      <c r="AF417" s="57"/>
      <c r="AG417" s="57"/>
      <c r="AH417" s="57"/>
      <c r="AI417" s="57"/>
      <c r="AJ417" s="57"/>
    </row>
    <row r="418" spans="1:36" x14ac:dyDescent="0.25">
      <c r="A418" s="57"/>
      <c r="B418" s="57"/>
      <c r="C418" s="57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  <c r="O418" s="57"/>
      <c r="P418" s="57"/>
      <c r="Q418" s="57"/>
      <c r="R418" s="57"/>
      <c r="S418" s="57"/>
      <c r="T418" s="57"/>
      <c r="U418" s="57"/>
      <c r="V418" s="57"/>
      <c r="W418" s="57"/>
      <c r="X418" s="57"/>
      <c r="Y418" s="57"/>
      <c r="Z418" s="57"/>
      <c r="AA418" s="57"/>
      <c r="AB418" s="57"/>
      <c r="AC418" s="57"/>
      <c r="AD418" s="57"/>
      <c r="AE418" s="57"/>
      <c r="AF418" s="57"/>
      <c r="AG418" s="57"/>
      <c r="AH418" s="57"/>
      <c r="AI418" s="57"/>
      <c r="AJ418" s="57"/>
    </row>
    <row r="419" spans="1:36" x14ac:dyDescent="0.25">
      <c r="A419" s="57"/>
      <c r="B419" s="57"/>
      <c r="C419" s="57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  <c r="O419" s="57"/>
      <c r="P419" s="57"/>
      <c r="Q419" s="57"/>
      <c r="R419" s="57"/>
      <c r="S419" s="57"/>
      <c r="T419" s="57"/>
      <c r="U419" s="57"/>
      <c r="V419" s="57"/>
      <c r="W419" s="57"/>
      <c r="X419" s="57"/>
      <c r="Y419" s="57"/>
      <c r="Z419" s="57"/>
      <c r="AA419" s="57"/>
      <c r="AB419" s="57"/>
      <c r="AC419" s="57"/>
      <c r="AD419" s="57"/>
      <c r="AE419" s="57"/>
      <c r="AF419" s="57"/>
      <c r="AG419" s="57"/>
      <c r="AH419" s="57"/>
      <c r="AI419" s="57"/>
      <c r="AJ419" s="57"/>
    </row>
    <row r="420" spans="1:36" x14ac:dyDescent="0.25">
      <c r="A420" s="57"/>
      <c r="B420" s="57"/>
      <c r="C420" s="57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  <c r="O420" s="57"/>
      <c r="P420" s="57"/>
      <c r="Q420" s="57"/>
      <c r="R420" s="57"/>
      <c r="S420" s="57"/>
      <c r="T420" s="57"/>
      <c r="U420" s="57"/>
      <c r="V420" s="57"/>
      <c r="W420" s="57"/>
      <c r="X420" s="57"/>
      <c r="Y420" s="57"/>
      <c r="Z420" s="57"/>
      <c r="AA420" s="57"/>
      <c r="AB420" s="57"/>
      <c r="AC420" s="57"/>
      <c r="AD420" s="57"/>
      <c r="AE420" s="57"/>
      <c r="AF420" s="57"/>
      <c r="AG420" s="57"/>
      <c r="AH420" s="57"/>
      <c r="AI420" s="57"/>
      <c r="AJ420" s="57"/>
    </row>
    <row r="421" spans="1:36" x14ac:dyDescent="0.25">
      <c r="A421" s="57"/>
      <c r="B421" s="57"/>
      <c r="C421" s="57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  <c r="O421" s="57"/>
      <c r="P421" s="57"/>
      <c r="Q421" s="57"/>
      <c r="R421" s="57"/>
      <c r="S421" s="57"/>
      <c r="T421" s="57"/>
      <c r="U421" s="57"/>
      <c r="V421" s="57"/>
      <c r="W421" s="57"/>
      <c r="X421" s="57"/>
      <c r="Y421" s="57"/>
      <c r="Z421" s="57"/>
      <c r="AA421" s="57"/>
      <c r="AB421" s="57"/>
      <c r="AC421" s="57"/>
      <c r="AD421" s="57"/>
      <c r="AE421" s="57"/>
      <c r="AF421" s="57"/>
      <c r="AG421" s="57"/>
      <c r="AH421" s="57"/>
      <c r="AI421" s="57"/>
      <c r="AJ421" s="57"/>
    </row>
    <row r="422" spans="1:36" x14ac:dyDescent="0.25">
      <c r="A422" s="57"/>
      <c r="B422" s="57"/>
      <c r="C422" s="57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  <c r="O422" s="57"/>
      <c r="P422" s="57"/>
      <c r="Q422" s="57"/>
      <c r="R422" s="57"/>
      <c r="S422" s="57"/>
      <c r="T422" s="57"/>
      <c r="U422" s="57"/>
      <c r="V422" s="57"/>
      <c r="W422" s="57"/>
      <c r="X422" s="57"/>
      <c r="Y422" s="57"/>
      <c r="Z422" s="57"/>
      <c r="AA422" s="57"/>
      <c r="AB422" s="57"/>
      <c r="AC422" s="57"/>
      <c r="AD422" s="57"/>
      <c r="AE422" s="57"/>
      <c r="AF422" s="57"/>
      <c r="AG422" s="57"/>
      <c r="AH422" s="57"/>
      <c r="AI422" s="57"/>
      <c r="AJ422" s="57"/>
    </row>
    <row r="423" spans="1:36" x14ac:dyDescent="0.25">
      <c r="A423" s="57"/>
      <c r="B423" s="57"/>
      <c r="C423" s="57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  <c r="O423" s="57"/>
      <c r="P423" s="57"/>
      <c r="Q423" s="57"/>
      <c r="R423" s="57"/>
      <c r="S423" s="57"/>
      <c r="T423" s="57"/>
      <c r="U423" s="57"/>
      <c r="V423" s="57"/>
      <c r="W423" s="57"/>
      <c r="X423" s="57"/>
      <c r="Y423" s="57"/>
      <c r="Z423" s="57"/>
      <c r="AA423" s="57"/>
      <c r="AB423" s="57"/>
      <c r="AC423" s="57"/>
      <c r="AD423" s="57"/>
      <c r="AE423" s="57"/>
      <c r="AF423" s="57"/>
      <c r="AG423" s="57"/>
      <c r="AH423" s="57"/>
      <c r="AI423" s="57"/>
      <c r="AJ423" s="57"/>
    </row>
    <row r="424" spans="1:36" x14ac:dyDescent="0.25">
      <c r="A424" s="57"/>
      <c r="B424" s="57"/>
      <c r="C424" s="57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  <c r="O424" s="57"/>
      <c r="P424" s="57"/>
      <c r="Q424" s="57"/>
      <c r="R424" s="57"/>
      <c r="S424" s="57"/>
      <c r="T424" s="57"/>
      <c r="U424" s="57"/>
      <c r="V424" s="57"/>
      <c r="W424" s="57"/>
      <c r="X424" s="57"/>
      <c r="Y424" s="57"/>
      <c r="Z424" s="57"/>
      <c r="AA424" s="57"/>
      <c r="AB424" s="57"/>
      <c r="AC424" s="57"/>
      <c r="AD424" s="57"/>
      <c r="AE424" s="57"/>
      <c r="AF424" s="57"/>
      <c r="AG424" s="57"/>
      <c r="AH424" s="57"/>
      <c r="AI424" s="57"/>
      <c r="AJ424" s="57"/>
    </row>
    <row r="425" spans="1:36" x14ac:dyDescent="0.25">
      <c r="A425" s="57"/>
      <c r="B425" s="57"/>
      <c r="C425" s="57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  <c r="O425" s="57"/>
      <c r="P425" s="57"/>
      <c r="Q425" s="57"/>
      <c r="R425" s="57"/>
      <c r="S425" s="57"/>
      <c r="T425" s="57"/>
      <c r="U425" s="57"/>
      <c r="V425" s="57"/>
      <c r="W425" s="57"/>
      <c r="X425" s="57"/>
      <c r="Y425" s="57"/>
      <c r="Z425" s="57"/>
      <c r="AA425" s="57"/>
      <c r="AB425" s="57"/>
      <c r="AC425" s="57"/>
      <c r="AD425" s="57"/>
      <c r="AE425" s="57"/>
      <c r="AF425" s="57"/>
      <c r="AG425" s="57"/>
      <c r="AH425" s="57"/>
      <c r="AI425" s="57"/>
      <c r="AJ425" s="57"/>
    </row>
    <row r="426" spans="1:36" x14ac:dyDescent="0.25">
      <c r="A426" s="57"/>
      <c r="B426" s="57"/>
      <c r="C426" s="57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  <c r="O426" s="57"/>
      <c r="P426" s="57"/>
      <c r="Q426" s="57"/>
      <c r="R426" s="57"/>
      <c r="S426" s="57"/>
      <c r="T426" s="57"/>
      <c r="U426" s="57"/>
      <c r="V426" s="57"/>
      <c r="W426" s="57"/>
      <c r="X426" s="57"/>
      <c r="Y426" s="57"/>
      <c r="Z426" s="57"/>
      <c r="AA426" s="57"/>
      <c r="AB426" s="57"/>
      <c r="AC426" s="57"/>
      <c r="AD426" s="57"/>
      <c r="AE426" s="57"/>
      <c r="AF426" s="57"/>
      <c r="AG426" s="57"/>
      <c r="AH426" s="57"/>
      <c r="AI426" s="57"/>
      <c r="AJ426" s="57"/>
    </row>
    <row r="427" spans="1:36" x14ac:dyDescent="0.25">
      <c r="A427" s="57"/>
      <c r="B427" s="57"/>
      <c r="C427" s="57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  <c r="O427" s="57"/>
      <c r="P427" s="57"/>
      <c r="Q427" s="57"/>
      <c r="R427" s="57"/>
      <c r="S427" s="57"/>
      <c r="T427" s="57"/>
      <c r="U427" s="57"/>
      <c r="V427" s="57"/>
      <c r="W427" s="57"/>
      <c r="X427" s="57"/>
      <c r="Y427" s="57"/>
      <c r="Z427" s="57"/>
      <c r="AA427" s="57"/>
      <c r="AB427" s="57"/>
      <c r="AC427" s="57"/>
      <c r="AD427" s="57"/>
      <c r="AE427" s="57"/>
      <c r="AF427" s="57"/>
      <c r="AG427" s="57"/>
      <c r="AH427" s="57"/>
      <c r="AI427" s="57"/>
      <c r="AJ427" s="57"/>
    </row>
    <row r="428" spans="1:36" x14ac:dyDescent="0.25">
      <c r="A428" s="57"/>
      <c r="B428" s="57"/>
      <c r="C428" s="57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  <c r="O428" s="57"/>
      <c r="P428" s="57"/>
      <c r="Q428" s="57"/>
      <c r="R428" s="57"/>
      <c r="S428" s="57"/>
      <c r="T428" s="57"/>
      <c r="U428" s="57"/>
      <c r="V428" s="57"/>
      <c r="W428" s="57"/>
      <c r="X428" s="57"/>
      <c r="Y428" s="57"/>
      <c r="Z428" s="57"/>
      <c r="AA428" s="57"/>
      <c r="AB428" s="57"/>
      <c r="AC428" s="57"/>
      <c r="AD428" s="57"/>
      <c r="AE428" s="57"/>
      <c r="AF428" s="57"/>
      <c r="AG428" s="57"/>
      <c r="AH428" s="57"/>
      <c r="AI428" s="57"/>
      <c r="AJ428" s="57"/>
    </row>
    <row r="429" spans="1:36" x14ac:dyDescent="0.25">
      <c r="A429" s="57"/>
      <c r="B429" s="57"/>
      <c r="C429" s="57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  <c r="O429" s="57"/>
      <c r="P429" s="57"/>
      <c r="Q429" s="57"/>
      <c r="R429" s="57"/>
      <c r="S429" s="57"/>
      <c r="T429" s="57"/>
      <c r="U429" s="57"/>
      <c r="V429" s="57"/>
      <c r="W429" s="57"/>
      <c r="X429" s="57"/>
      <c r="Y429" s="57"/>
      <c r="Z429" s="57"/>
      <c r="AA429" s="57"/>
      <c r="AB429" s="57"/>
      <c r="AC429" s="57"/>
      <c r="AD429" s="57"/>
      <c r="AE429" s="57"/>
      <c r="AF429" s="57"/>
      <c r="AG429" s="57"/>
      <c r="AH429" s="57"/>
      <c r="AI429" s="57"/>
      <c r="AJ429" s="57"/>
    </row>
    <row r="430" spans="1:36" x14ac:dyDescent="0.25">
      <c r="A430" s="57"/>
      <c r="B430" s="57"/>
      <c r="C430" s="57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  <c r="O430" s="57"/>
      <c r="P430" s="57"/>
      <c r="Q430" s="57"/>
      <c r="R430" s="57"/>
      <c r="S430" s="57"/>
      <c r="T430" s="57"/>
      <c r="U430" s="57"/>
      <c r="V430" s="57"/>
      <c r="W430" s="57"/>
      <c r="X430" s="57"/>
      <c r="Y430" s="57"/>
      <c r="Z430" s="57"/>
      <c r="AA430" s="57"/>
      <c r="AB430" s="57"/>
      <c r="AC430" s="57"/>
      <c r="AD430" s="57"/>
      <c r="AE430" s="57"/>
      <c r="AF430" s="57"/>
      <c r="AG430" s="57"/>
      <c r="AH430" s="57"/>
      <c r="AI430" s="57"/>
      <c r="AJ430" s="57"/>
    </row>
    <row r="431" spans="1:36" x14ac:dyDescent="0.25">
      <c r="A431" s="57"/>
      <c r="B431" s="57"/>
      <c r="C431" s="57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  <c r="O431" s="57"/>
      <c r="P431" s="57"/>
      <c r="Q431" s="57"/>
      <c r="R431" s="57"/>
      <c r="S431" s="57"/>
      <c r="T431" s="57"/>
      <c r="U431" s="57"/>
      <c r="V431" s="57"/>
      <c r="W431" s="57"/>
      <c r="X431" s="57"/>
      <c r="Y431" s="57"/>
      <c r="Z431" s="57"/>
      <c r="AA431" s="57"/>
      <c r="AB431" s="57"/>
      <c r="AC431" s="57"/>
      <c r="AD431" s="57"/>
      <c r="AE431" s="57"/>
      <c r="AF431" s="57"/>
      <c r="AG431" s="57"/>
      <c r="AH431" s="57"/>
      <c r="AI431" s="57"/>
      <c r="AJ431" s="57"/>
    </row>
    <row r="432" spans="1:36" x14ac:dyDescent="0.25">
      <c r="A432" s="57"/>
      <c r="B432" s="57"/>
      <c r="C432" s="57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  <c r="O432" s="57"/>
      <c r="P432" s="57"/>
      <c r="Q432" s="57"/>
      <c r="R432" s="57"/>
      <c r="S432" s="57"/>
      <c r="T432" s="57"/>
      <c r="U432" s="57"/>
      <c r="V432" s="57"/>
      <c r="W432" s="57"/>
      <c r="X432" s="57"/>
      <c r="Y432" s="57"/>
      <c r="Z432" s="57"/>
      <c r="AA432" s="57"/>
      <c r="AB432" s="57"/>
      <c r="AC432" s="57"/>
      <c r="AD432" s="57"/>
      <c r="AE432" s="57"/>
      <c r="AF432" s="57"/>
      <c r="AG432" s="57"/>
      <c r="AH432" s="57"/>
      <c r="AI432" s="57"/>
      <c r="AJ432" s="57"/>
    </row>
    <row r="433" spans="1:36" x14ac:dyDescent="0.25">
      <c r="A433" s="57"/>
      <c r="B433" s="57"/>
      <c r="C433" s="57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  <c r="O433" s="57"/>
      <c r="P433" s="57"/>
      <c r="Q433" s="57"/>
      <c r="R433" s="57"/>
      <c r="S433" s="57"/>
      <c r="T433" s="57"/>
      <c r="U433" s="57"/>
      <c r="V433" s="57"/>
      <c r="W433" s="57"/>
      <c r="X433" s="57"/>
      <c r="Y433" s="57"/>
      <c r="Z433" s="57"/>
      <c r="AA433" s="57"/>
      <c r="AB433" s="57"/>
      <c r="AC433" s="57"/>
      <c r="AD433" s="57"/>
      <c r="AE433" s="57"/>
      <c r="AF433" s="57"/>
      <c r="AG433" s="57"/>
      <c r="AH433" s="57"/>
      <c r="AI433" s="57"/>
      <c r="AJ433" s="57"/>
    </row>
    <row r="434" spans="1:36" x14ac:dyDescent="0.25">
      <c r="A434" s="57"/>
      <c r="B434" s="57"/>
      <c r="C434" s="57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  <c r="O434" s="57"/>
      <c r="P434" s="57"/>
      <c r="Q434" s="57"/>
      <c r="R434" s="57"/>
      <c r="S434" s="57"/>
      <c r="T434" s="57"/>
      <c r="U434" s="57"/>
      <c r="V434" s="57"/>
      <c r="W434" s="57"/>
      <c r="X434" s="57"/>
      <c r="Y434" s="57"/>
      <c r="Z434" s="57"/>
      <c r="AA434" s="57"/>
      <c r="AB434" s="57"/>
      <c r="AC434" s="57"/>
      <c r="AD434" s="57"/>
      <c r="AE434" s="57"/>
      <c r="AF434" s="57"/>
      <c r="AG434" s="57"/>
      <c r="AH434" s="57"/>
      <c r="AI434" s="57"/>
      <c r="AJ434" s="57"/>
    </row>
    <row r="435" spans="1:36" x14ac:dyDescent="0.25">
      <c r="A435" s="57"/>
      <c r="B435" s="57"/>
      <c r="C435" s="57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  <c r="O435" s="57"/>
      <c r="P435" s="57"/>
      <c r="Q435" s="57"/>
      <c r="R435" s="57"/>
      <c r="S435" s="57"/>
      <c r="T435" s="57"/>
      <c r="U435" s="57"/>
      <c r="V435" s="57"/>
      <c r="W435" s="57"/>
      <c r="X435" s="57"/>
      <c r="Y435" s="57"/>
      <c r="Z435" s="57"/>
      <c r="AA435" s="57"/>
      <c r="AB435" s="57"/>
      <c r="AC435" s="57"/>
      <c r="AD435" s="57"/>
      <c r="AE435" s="57"/>
      <c r="AF435" s="57"/>
      <c r="AG435" s="57"/>
      <c r="AH435" s="57"/>
      <c r="AI435" s="57"/>
      <c r="AJ435" s="57"/>
    </row>
    <row r="436" spans="1:36" x14ac:dyDescent="0.25">
      <c r="A436" s="57"/>
      <c r="B436" s="57"/>
      <c r="C436" s="57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  <c r="O436" s="57"/>
      <c r="P436" s="57"/>
      <c r="Q436" s="57"/>
      <c r="R436" s="57"/>
      <c r="S436" s="57"/>
      <c r="T436" s="57"/>
      <c r="U436" s="57"/>
      <c r="V436" s="57"/>
      <c r="W436" s="57"/>
      <c r="X436" s="57"/>
      <c r="Y436" s="57"/>
      <c r="Z436" s="57"/>
      <c r="AA436" s="57"/>
      <c r="AB436" s="57"/>
      <c r="AC436" s="57"/>
      <c r="AD436" s="57"/>
      <c r="AE436" s="57"/>
      <c r="AF436" s="57"/>
      <c r="AG436" s="57"/>
      <c r="AH436" s="57"/>
      <c r="AI436" s="57"/>
      <c r="AJ436" s="57"/>
    </row>
    <row r="437" spans="1:36" x14ac:dyDescent="0.25">
      <c r="A437" s="57"/>
      <c r="B437" s="57"/>
      <c r="C437" s="57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  <c r="O437" s="57"/>
      <c r="P437" s="57"/>
      <c r="Q437" s="57"/>
      <c r="R437" s="57"/>
      <c r="S437" s="57"/>
      <c r="T437" s="57"/>
      <c r="U437" s="57"/>
      <c r="V437" s="57"/>
      <c r="W437" s="57"/>
      <c r="X437" s="57"/>
      <c r="Y437" s="57"/>
      <c r="Z437" s="57"/>
      <c r="AA437" s="57"/>
      <c r="AB437" s="57"/>
      <c r="AC437" s="57"/>
      <c r="AD437" s="57"/>
      <c r="AE437" s="57"/>
      <c r="AF437" s="57"/>
      <c r="AG437" s="57"/>
      <c r="AH437" s="57"/>
      <c r="AI437" s="57"/>
      <c r="AJ437" s="57"/>
    </row>
    <row r="438" spans="1:36" x14ac:dyDescent="0.25">
      <c r="A438" s="57"/>
      <c r="B438" s="57"/>
      <c r="C438" s="57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  <c r="O438" s="57"/>
      <c r="P438" s="57"/>
      <c r="Q438" s="57"/>
      <c r="R438" s="57"/>
      <c r="S438" s="57"/>
      <c r="T438" s="57"/>
      <c r="U438" s="57"/>
      <c r="V438" s="57"/>
      <c r="W438" s="57"/>
      <c r="X438" s="57"/>
      <c r="Y438" s="57"/>
      <c r="Z438" s="57"/>
      <c r="AA438" s="57"/>
      <c r="AB438" s="57"/>
      <c r="AC438" s="57"/>
      <c r="AD438" s="57"/>
      <c r="AE438" s="57"/>
      <c r="AF438" s="57"/>
      <c r="AG438" s="57"/>
      <c r="AH438" s="57"/>
      <c r="AI438" s="57"/>
      <c r="AJ438" s="57"/>
    </row>
    <row r="439" spans="1:36" x14ac:dyDescent="0.25">
      <c r="A439" s="57"/>
      <c r="B439" s="57"/>
      <c r="C439" s="57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  <c r="O439" s="57"/>
      <c r="P439" s="57"/>
      <c r="Q439" s="57"/>
      <c r="R439" s="57"/>
      <c r="S439" s="57"/>
      <c r="T439" s="57"/>
      <c r="U439" s="57"/>
      <c r="V439" s="57"/>
      <c r="W439" s="57"/>
      <c r="X439" s="57"/>
      <c r="Y439" s="57"/>
      <c r="Z439" s="57"/>
      <c r="AA439" s="57"/>
      <c r="AB439" s="57"/>
      <c r="AC439" s="57"/>
      <c r="AD439" s="57"/>
      <c r="AE439" s="57"/>
      <c r="AF439" s="57"/>
      <c r="AG439" s="57"/>
      <c r="AH439" s="57"/>
      <c r="AI439" s="57"/>
      <c r="AJ439" s="57"/>
    </row>
    <row r="440" spans="1:36" x14ac:dyDescent="0.25">
      <c r="A440" s="57"/>
      <c r="B440" s="57"/>
      <c r="C440" s="57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  <c r="O440" s="57"/>
      <c r="P440" s="57"/>
      <c r="Q440" s="57"/>
      <c r="R440" s="57"/>
      <c r="S440" s="57"/>
      <c r="T440" s="57"/>
      <c r="U440" s="57"/>
      <c r="V440" s="57"/>
      <c r="W440" s="57"/>
      <c r="X440" s="57"/>
      <c r="Y440" s="57"/>
      <c r="Z440" s="57"/>
      <c r="AA440" s="57"/>
      <c r="AB440" s="57"/>
      <c r="AC440" s="57"/>
      <c r="AD440" s="57"/>
      <c r="AE440" s="57"/>
      <c r="AF440" s="57"/>
      <c r="AG440" s="57"/>
      <c r="AH440" s="57"/>
      <c r="AI440" s="57"/>
      <c r="AJ440" s="57"/>
    </row>
    <row r="441" spans="1:36" x14ac:dyDescent="0.25">
      <c r="A441" s="57"/>
      <c r="B441" s="57"/>
      <c r="C441" s="57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  <c r="O441" s="57"/>
      <c r="P441" s="57"/>
      <c r="Q441" s="57"/>
      <c r="R441" s="57"/>
      <c r="S441" s="57"/>
      <c r="T441" s="57"/>
      <c r="U441" s="57"/>
      <c r="V441" s="57"/>
      <c r="W441" s="57"/>
      <c r="X441" s="57"/>
      <c r="Y441" s="57"/>
      <c r="Z441" s="57"/>
      <c r="AA441" s="57"/>
      <c r="AB441" s="57"/>
      <c r="AC441" s="57"/>
      <c r="AD441" s="57"/>
      <c r="AE441" s="57"/>
      <c r="AF441" s="57"/>
      <c r="AG441" s="57"/>
      <c r="AH441" s="57"/>
      <c r="AI441" s="57"/>
      <c r="AJ441" s="57"/>
    </row>
    <row r="442" spans="1:36" x14ac:dyDescent="0.25">
      <c r="A442" s="57"/>
      <c r="B442" s="57"/>
      <c r="C442" s="57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  <c r="O442" s="57"/>
      <c r="P442" s="57"/>
      <c r="Q442" s="57"/>
      <c r="R442" s="57"/>
      <c r="S442" s="57"/>
      <c r="T442" s="57"/>
      <c r="U442" s="57"/>
      <c r="V442" s="57"/>
      <c r="W442" s="57"/>
      <c r="X442" s="57"/>
      <c r="Y442" s="57"/>
      <c r="Z442" s="57"/>
      <c r="AA442" s="57"/>
      <c r="AB442" s="57"/>
      <c r="AC442" s="57"/>
      <c r="AD442" s="57"/>
      <c r="AE442" s="57"/>
      <c r="AF442" s="57"/>
      <c r="AG442" s="57"/>
      <c r="AH442" s="57"/>
      <c r="AI442" s="57"/>
      <c r="AJ442" s="57"/>
    </row>
    <row r="443" spans="1:36" x14ac:dyDescent="0.25">
      <c r="A443" s="57"/>
      <c r="B443" s="57"/>
      <c r="C443" s="57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  <c r="O443" s="57"/>
      <c r="P443" s="57"/>
      <c r="Q443" s="57"/>
      <c r="R443" s="57"/>
      <c r="S443" s="57"/>
      <c r="T443" s="57"/>
      <c r="U443" s="57"/>
      <c r="V443" s="57"/>
      <c r="W443" s="57"/>
      <c r="X443" s="57"/>
      <c r="Y443" s="57"/>
      <c r="Z443" s="57"/>
      <c r="AA443" s="57"/>
      <c r="AB443" s="57"/>
      <c r="AC443" s="57"/>
      <c r="AD443" s="57"/>
      <c r="AE443" s="57"/>
      <c r="AF443" s="57"/>
      <c r="AG443" s="57"/>
      <c r="AH443" s="57"/>
      <c r="AI443" s="57"/>
      <c r="AJ443" s="57"/>
    </row>
    <row r="444" spans="1:36" x14ac:dyDescent="0.25">
      <c r="A444" s="57"/>
      <c r="B444" s="57"/>
      <c r="C444" s="57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  <c r="O444" s="57"/>
      <c r="P444" s="57"/>
      <c r="Q444" s="57"/>
      <c r="R444" s="57"/>
      <c r="S444" s="57"/>
      <c r="T444" s="57"/>
      <c r="U444" s="57"/>
      <c r="V444" s="57"/>
      <c r="W444" s="57"/>
      <c r="X444" s="57"/>
      <c r="Y444" s="57"/>
      <c r="Z444" s="57"/>
      <c r="AA444" s="57"/>
      <c r="AB444" s="57"/>
      <c r="AC444" s="57"/>
      <c r="AD444" s="57"/>
      <c r="AE444" s="57"/>
      <c r="AF444" s="57"/>
      <c r="AG444" s="57"/>
      <c r="AH444" s="57"/>
      <c r="AI444" s="57"/>
      <c r="AJ444" s="57"/>
    </row>
    <row r="445" spans="1:36" x14ac:dyDescent="0.25">
      <c r="A445" s="57"/>
      <c r="B445" s="57"/>
      <c r="C445" s="57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  <c r="O445" s="57"/>
      <c r="P445" s="57"/>
      <c r="Q445" s="57"/>
      <c r="R445" s="57"/>
      <c r="S445" s="57"/>
      <c r="T445" s="57"/>
      <c r="U445" s="57"/>
      <c r="V445" s="57"/>
      <c r="W445" s="57"/>
      <c r="X445" s="57"/>
      <c r="Y445" s="57"/>
      <c r="Z445" s="57"/>
      <c r="AA445" s="57"/>
      <c r="AB445" s="57"/>
      <c r="AC445" s="57"/>
      <c r="AD445" s="57"/>
      <c r="AE445" s="57"/>
      <c r="AF445" s="57"/>
      <c r="AG445" s="57"/>
      <c r="AH445" s="57"/>
      <c r="AI445" s="57"/>
      <c r="AJ445" s="57"/>
    </row>
    <row r="446" spans="1:36" x14ac:dyDescent="0.25">
      <c r="A446" s="57"/>
      <c r="B446" s="57"/>
      <c r="C446" s="57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  <c r="O446" s="57"/>
      <c r="P446" s="57"/>
      <c r="Q446" s="57"/>
      <c r="R446" s="57"/>
      <c r="S446" s="57"/>
      <c r="T446" s="57"/>
      <c r="U446" s="57"/>
      <c r="V446" s="57"/>
      <c r="W446" s="57"/>
      <c r="X446" s="57"/>
      <c r="Y446" s="57"/>
      <c r="Z446" s="57"/>
      <c r="AA446" s="57"/>
      <c r="AB446" s="57"/>
      <c r="AC446" s="57"/>
      <c r="AD446" s="57"/>
      <c r="AE446" s="57"/>
      <c r="AF446" s="57"/>
      <c r="AG446" s="57"/>
      <c r="AH446" s="57"/>
      <c r="AI446" s="57"/>
      <c r="AJ446" s="57"/>
    </row>
    <row r="447" spans="1:36" x14ac:dyDescent="0.25">
      <c r="A447" s="57"/>
      <c r="B447" s="57"/>
      <c r="C447" s="57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  <c r="O447" s="57"/>
      <c r="P447" s="57"/>
      <c r="Q447" s="57"/>
      <c r="R447" s="57"/>
      <c r="S447" s="57"/>
      <c r="T447" s="57"/>
      <c r="U447" s="57"/>
      <c r="V447" s="57"/>
      <c r="W447" s="57"/>
      <c r="X447" s="57"/>
      <c r="Y447" s="57"/>
      <c r="Z447" s="57"/>
      <c r="AA447" s="57"/>
      <c r="AB447" s="57"/>
      <c r="AC447" s="57"/>
      <c r="AD447" s="57"/>
      <c r="AE447" s="57"/>
      <c r="AF447" s="57"/>
      <c r="AG447" s="57"/>
      <c r="AH447" s="57"/>
      <c r="AI447" s="57"/>
      <c r="AJ447" s="57"/>
    </row>
    <row r="448" spans="1:36" x14ac:dyDescent="0.25">
      <c r="A448" s="57"/>
      <c r="B448" s="57"/>
      <c r="C448" s="57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  <c r="O448" s="57"/>
      <c r="P448" s="57"/>
      <c r="Q448" s="57"/>
      <c r="R448" s="57"/>
      <c r="S448" s="57"/>
      <c r="T448" s="57"/>
      <c r="U448" s="57"/>
      <c r="V448" s="57"/>
      <c r="W448" s="57"/>
      <c r="X448" s="57"/>
      <c r="Y448" s="57"/>
      <c r="Z448" s="57"/>
      <c r="AA448" s="57"/>
      <c r="AB448" s="57"/>
      <c r="AC448" s="57"/>
      <c r="AD448" s="57"/>
      <c r="AE448" s="57"/>
      <c r="AF448" s="57"/>
      <c r="AG448" s="57"/>
      <c r="AH448" s="57"/>
      <c r="AI448" s="57"/>
      <c r="AJ448" s="57"/>
    </row>
    <row r="449" spans="1:36" x14ac:dyDescent="0.25">
      <c r="A449" s="57"/>
      <c r="B449" s="57"/>
      <c r="C449" s="57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  <c r="O449" s="57"/>
      <c r="P449" s="57"/>
      <c r="Q449" s="57"/>
      <c r="R449" s="57"/>
      <c r="S449" s="57"/>
      <c r="T449" s="57"/>
      <c r="U449" s="57"/>
      <c r="V449" s="57"/>
      <c r="W449" s="57"/>
      <c r="X449" s="57"/>
      <c r="Y449" s="57"/>
      <c r="Z449" s="57"/>
      <c r="AA449" s="57"/>
      <c r="AB449" s="57"/>
      <c r="AC449" s="57"/>
      <c r="AD449" s="57"/>
      <c r="AE449" s="57"/>
      <c r="AF449" s="57"/>
      <c r="AG449" s="57"/>
      <c r="AH449" s="57"/>
      <c r="AI449" s="57"/>
      <c r="AJ449" s="57"/>
    </row>
    <row r="450" spans="1:36" x14ac:dyDescent="0.25">
      <c r="A450" s="57"/>
      <c r="B450" s="57"/>
      <c r="C450" s="57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  <c r="O450" s="57"/>
      <c r="P450" s="57"/>
      <c r="Q450" s="57"/>
      <c r="R450" s="57"/>
      <c r="S450" s="57"/>
      <c r="T450" s="57"/>
      <c r="U450" s="57"/>
      <c r="V450" s="57"/>
      <c r="W450" s="57"/>
      <c r="X450" s="57"/>
      <c r="Y450" s="57"/>
      <c r="Z450" s="57"/>
      <c r="AA450" s="57"/>
      <c r="AB450" s="57"/>
      <c r="AC450" s="57"/>
      <c r="AD450" s="57"/>
      <c r="AE450" s="57"/>
      <c r="AF450" s="57"/>
      <c r="AG450" s="57"/>
      <c r="AH450" s="57"/>
      <c r="AI450" s="57"/>
      <c r="AJ450" s="57"/>
    </row>
    <row r="451" spans="1:36" x14ac:dyDescent="0.25">
      <c r="A451" s="57"/>
      <c r="B451" s="57"/>
      <c r="C451" s="57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  <c r="O451" s="57"/>
      <c r="P451" s="57"/>
      <c r="Q451" s="57"/>
      <c r="R451" s="57"/>
      <c r="S451" s="57"/>
      <c r="T451" s="57"/>
      <c r="U451" s="57"/>
      <c r="V451" s="57"/>
      <c r="W451" s="57"/>
      <c r="X451" s="57"/>
      <c r="Y451" s="57"/>
      <c r="Z451" s="57"/>
      <c r="AA451" s="57"/>
      <c r="AB451" s="57"/>
      <c r="AC451" s="57"/>
      <c r="AD451" s="57"/>
      <c r="AE451" s="57"/>
      <c r="AF451" s="57"/>
      <c r="AG451" s="57"/>
      <c r="AH451" s="57"/>
      <c r="AI451" s="57"/>
      <c r="AJ451" s="57"/>
    </row>
    <row r="452" spans="1:36" x14ac:dyDescent="0.25">
      <c r="A452" s="57"/>
      <c r="B452" s="57"/>
      <c r="C452" s="57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  <c r="O452" s="57"/>
      <c r="P452" s="57"/>
      <c r="Q452" s="57"/>
      <c r="R452" s="57"/>
      <c r="S452" s="57"/>
      <c r="T452" s="57"/>
      <c r="U452" s="57"/>
      <c r="V452" s="57"/>
      <c r="W452" s="57"/>
      <c r="X452" s="57"/>
      <c r="Y452" s="57"/>
      <c r="Z452" s="57"/>
      <c r="AA452" s="57"/>
      <c r="AB452" s="57"/>
      <c r="AC452" s="57"/>
      <c r="AD452" s="57"/>
      <c r="AE452" s="57"/>
      <c r="AF452" s="57"/>
      <c r="AG452" s="57"/>
      <c r="AH452" s="57"/>
      <c r="AI452" s="57"/>
      <c r="AJ452" s="57"/>
    </row>
    <row r="453" spans="1:36" x14ac:dyDescent="0.25">
      <c r="A453" s="57"/>
      <c r="B453" s="57"/>
      <c r="C453" s="57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  <c r="O453" s="57"/>
      <c r="P453" s="57"/>
      <c r="Q453" s="57"/>
      <c r="R453" s="57"/>
      <c r="S453" s="57"/>
      <c r="T453" s="57"/>
      <c r="U453" s="57"/>
      <c r="V453" s="57"/>
      <c r="W453" s="57"/>
      <c r="X453" s="57"/>
      <c r="Y453" s="57"/>
      <c r="Z453" s="57"/>
      <c r="AA453" s="57"/>
      <c r="AB453" s="57"/>
      <c r="AC453" s="57"/>
      <c r="AD453" s="57"/>
      <c r="AE453" s="57"/>
      <c r="AF453" s="57"/>
      <c r="AG453" s="57"/>
      <c r="AH453" s="57"/>
      <c r="AI453" s="57"/>
      <c r="AJ453" s="57"/>
    </row>
    <row r="454" spans="1:36" x14ac:dyDescent="0.25">
      <c r="A454" s="57"/>
      <c r="B454" s="57"/>
      <c r="C454" s="57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  <c r="O454" s="57"/>
      <c r="P454" s="57"/>
      <c r="Q454" s="57"/>
      <c r="R454" s="57"/>
      <c r="S454" s="57"/>
      <c r="T454" s="57"/>
      <c r="U454" s="57"/>
      <c r="V454" s="57"/>
      <c r="W454" s="57"/>
      <c r="X454" s="57"/>
      <c r="Y454" s="57"/>
      <c r="Z454" s="57"/>
      <c r="AA454" s="57"/>
      <c r="AB454" s="57"/>
      <c r="AC454" s="57"/>
      <c r="AD454" s="57"/>
      <c r="AE454" s="57"/>
      <c r="AF454" s="57"/>
      <c r="AG454" s="57"/>
      <c r="AH454" s="57"/>
      <c r="AI454" s="57"/>
      <c r="AJ454" s="57"/>
    </row>
    <row r="455" spans="1:36" x14ac:dyDescent="0.25">
      <c r="A455" s="57"/>
      <c r="B455" s="57"/>
      <c r="C455" s="57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  <c r="O455" s="57"/>
      <c r="P455" s="57"/>
      <c r="Q455" s="57"/>
      <c r="R455" s="57"/>
      <c r="S455" s="57"/>
      <c r="T455" s="57"/>
      <c r="U455" s="57"/>
      <c r="V455" s="57"/>
      <c r="W455" s="57"/>
      <c r="X455" s="57"/>
      <c r="Y455" s="57"/>
      <c r="Z455" s="57"/>
      <c r="AA455" s="57"/>
      <c r="AB455" s="57"/>
      <c r="AC455" s="57"/>
      <c r="AD455" s="57"/>
      <c r="AE455" s="57"/>
      <c r="AF455" s="57"/>
      <c r="AG455" s="57"/>
      <c r="AH455" s="57"/>
      <c r="AI455" s="57"/>
      <c r="AJ455" s="57"/>
    </row>
    <row r="456" spans="1:36" x14ac:dyDescent="0.25">
      <c r="A456" s="57"/>
      <c r="B456" s="57"/>
      <c r="C456" s="57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  <c r="O456" s="57"/>
      <c r="P456" s="57"/>
      <c r="Q456" s="57"/>
      <c r="R456" s="57"/>
      <c r="S456" s="57"/>
      <c r="T456" s="57"/>
      <c r="U456" s="57"/>
      <c r="V456" s="57"/>
      <c r="W456" s="57"/>
      <c r="X456" s="57"/>
      <c r="Y456" s="57"/>
      <c r="Z456" s="57"/>
      <c r="AA456" s="57"/>
      <c r="AB456" s="57"/>
      <c r="AC456" s="57"/>
      <c r="AD456" s="57"/>
      <c r="AE456" s="57"/>
      <c r="AF456" s="57"/>
      <c r="AG456" s="57"/>
      <c r="AH456" s="57"/>
      <c r="AI456" s="57"/>
      <c r="AJ456" s="57"/>
    </row>
    <row r="457" spans="1:36" x14ac:dyDescent="0.25">
      <c r="A457" s="57"/>
      <c r="B457" s="57"/>
      <c r="C457" s="57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  <c r="O457" s="57"/>
      <c r="P457" s="57"/>
      <c r="Q457" s="57"/>
      <c r="R457" s="57"/>
      <c r="S457" s="57"/>
      <c r="T457" s="57"/>
      <c r="U457" s="57"/>
      <c r="V457" s="57"/>
      <c r="W457" s="57"/>
      <c r="X457" s="57"/>
      <c r="Y457" s="57"/>
      <c r="Z457" s="57"/>
      <c r="AA457" s="57"/>
      <c r="AB457" s="57"/>
      <c r="AC457" s="57"/>
      <c r="AD457" s="57"/>
      <c r="AE457" s="57"/>
      <c r="AF457" s="57"/>
      <c r="AG457" s="57"/>
      <c r="AH457" s="57"/>
      <c r="AI457" s="57"/>
      <c r="AJ457" s="57"/>
    </row>
    <row r="458" spans="1:36" x14ac:dyDescent="0.25">
      <c r="A458" s="57"/>
      <c r="B458" s="57"/>
      <c r="C458" s="57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  <c r="O458" s="57"/>
      <c r="P458" s="57"/>
      <c r="Q458" s="57"/>
      <c r="R458" s="57"/>
      <c r="S458" s="57"/>
      <c r="T458" s="57"/>
      <c r="U458" s="57"/>
      <c r="V458" s="57"/>
      <c r="W458" s="57"/>
      <c r="X458" s="57"/>
      <c r="Y458" s="57"/>
      <c r="Z458" s="57"/>
      <c r="AA458" s="57"/>
      <c r="AB458" s="57"/>
      <c r="AC458" s="57"/>
      <c r="AD458" s="57"/>
      <c r="AE458" s="57"/>
      <c r="AF458" s="57"/>
      <c r="AG458" s="57"/>
      <c r="AH458" s="57"/>
      <c r="AI458" s="57"/>
      <c r="AJ458" s="57"/>
    </row>
    <row r="459" spans="1:36" x14ac:dyDescent="0.25">
      <c r="A459" s="57"/>
      <c r="B459" s="57"/>
      <c r="C459" s="57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  <c r="O459" s="57"/>
      <c r="P459" s="57"/>
      <c r="Q459" s="57"/>
      <c r="R459" s="57"/>
      <c r="S459" s="57"/>
      <c r="T459" s="57"/>
      <c r="U459" s="57"/>
      <c r="V459" s="57"/>
      <c r="W459" s="57"/>
      <c r="X459" s="57"/>
      <c r="Y459" s="57"/>
      <c r="Z459" s="57"/>
      <c r="AA459" s="57"/>
      <c r="AB459" s="57"/>
      <c r="AC459" s="57"/>
      <c r="AD459" s="57"/>
      <c r="AE459" s="57"/>
      <c r="AF459" s="57"/>
      <c r="AG459" s="57"/>
      <c r="AH459" s="57"/>
      <c r="AI459" s="57"/>
      <c r="AJ459" s="57"/>
    </row>
    <row r="460" spans="1:36" x14ac:dyDescent="0.25">
      <c r="A460" s="57"/>
      <c r="B460" s="57"/>
      <c r="C460" s="57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  <c r="O460" s="57"/>
      <c r="P460" s="57"/>
      <c r="Q460" s="57"/>
      <c r="R460" s="57"/>
      <c r="S460" s="57"/>
      <c r="T460" s="57"/>
      <c r="U460" s="57"/>
      <c r="V460" s="57"/>
      <c r="W460" s="57"/>
      <c r="X460" s="57"/>
      <c r="Y460" s="57"/>
      <c r="Z460" s="57"/>
      <c r="AA460" s="57"/>
      <c r="AB460" s="57"/>
      <c r="AC460" s="57"/>
      <c r="AD460" s="57"/>
      <c r="AE460" s="57"/>
      <c r="AF460" s="57"/>
      <c r="AG460" s="57"/>
      <c r="AH460" s="57"/>
      <c r="AI460" s="57"/>
      <c r="AJ460" s="57"/>
    </row>
    <row r="461" spans="1:36" x14ac:dyDescent="0.25">
      <c r="A461" s="57"/>
      <c r="B461" s="57"/>
      <c r="C461" s="57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  <c r="O461" s="57"/>
      <c r="P461" s="57"/>
      <c r="Q461" s="57"/>
      <c r="R461" s="57"/>
      <c r="S461" s="57"/>
      <c r="T461" s="57"/>
      <c r="U461" s="57"/>
      <c r="V461" s="57"/>
      <c r="W461" s="57"/>
      <c r="X461" s="57"/>
      <c r="Y461" s="57"/>
      <c r="Z461" s="57"/>
      <c r="AA461" s="57"/>
      <c r="AB461" s="57"/>
      <c r="AC461" s="57"/>
      <c r="AD461" s="57"/>
      <c r="AE461" s="57"/>
      <c r="AF461" s="57"/>
      <c r="AG461" s="57"/>
      <c r="AH461" s="57"/>
      <c r="AI461" s="57"/>
      <c r="AJ461" s="57"/>
    </row>
    <row r="462" spans="1:36" x14ac:dyDescent="0.25">
      <c r="A462" s="57"/>
      <c r="B462" s="57"/>
      <c r="C462" s="57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  <c r="O462" s="57"/>
      <c r="P462" s="57"/>
      <c r="Q462" s="57"/>
      <c r="R462" s="57"/>
      <c r="S462" s="57"/>
      <c r="T462" s="57"/>
      <c r="U462" s="57"/>
      <c r="V462" s="57"/>
      <c r="W462" s="57"/>
      <c r="X462" s="57"/>
      <c r="Y462" s="57"/>
      <c r="Z462" s="57"/>
      <c r="AA462" s="57"/>
      <c r="AB462" s="57"/>
      <c r="AC462" s="57"/>
      <c r="AD462" s="57"/>
      <c r="AE462" s="57"/>
      <c r="AF462" s="57"/>
      <c r="AG462" s="57"/>
      <c r="AH462" s="57"/>
      <c r="AI462" s="57"/>
      <c r="AJ462" s="57"/>
    </row>
    <row r="463" spans="1:36" x14ac:dyDescent="0.25">
      <c r="A463" s="57"/>
      <c r="B463" s="57"/>
      <c r="C463" s="57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  <c r="O463" s="57"/>
      <c r="P463" s="57"/>
      <c r="Q463" s="57"/>
      <c r="R463" s="57"/>
      <c r="S463" s="57"/>
      <c r="T463" s="57"/>
      <c r="U463" s="57"/>
      <c r="V463" s="57"/>
      <c r="W463" s="57"/>
      <c r="X463" s="57"/>
      <c r="Y463" s="57"/>
      <c r="Z463" s="57"/>
      <c r="AA463" s="57"/>
      <c r="AB463" s="57"/>
      <c r="AC463" s="57"/>
      <c r="AD463" s="57"/>
      <c r="AE463" s="57"/>
      <c r="AF463" s="57"/>
      <c r="AG463" s="57"/>
      <c r="AH463" s="57"/>
      <c r="AI463" s="57"/>
      <c r="AJ463" s="57"/>
    </row>
    <row r="464" spans="1:36" x14ac:dyDescent="0.25">
      <c r="A464" s="57"/>
      <c r="B464" s="57"/>
      <c r="C464" s="57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  <c r="O464" s="57"/>
      <c r="P464" s="57"/>
      <c r="Q464" s="57"/>
      <c r="R464" s="57"/>
      <c r="S464" s="57"/>
      <c r="T464" s="57"/>
      <c r="U464" s="57"/>
      <c r="V464" s="57"/>
      <c r="W464" s="57"/>
      <c r="X464" s="57"/>
      <c r="Y464" s="57"/>
      <c r="Z464" s="57"/>
      <c r="AA464" s="57"/>
      <c r="AB464" s="57"/>
      <c r="AC464" s="57"/>
      <c r="AD464" s="57"/>
      <c r="AE464" s="57"/>
      <c r="AF464" s="57"/>
      <c r="AG464" s="57"/>
      <c r="AH464" s="57"/>
      <c r="AI464" s="57"/>
      <c r="AJ464" s="57"/>
    </row>
    <row r="465" spans="1:36" x14ac:dyDescent="0.25">
      <c r="A465" s="57"/>
      <c r="B465" s="57"/>
      <c r="C465" s="57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  <c r="O465" s="57"/>
      <c r="P465" s="57"/>
      <c r="Q465" s="57"/>
      <c r="R465" s="57"/>
      <c r="S465" s="57"/>
      <c r="T465" s="57"/>
      <c r="U465" s="57"/>
      <c r="V465" s="57"/>
      <c r="W465" s="57"/>
      <c r="X465" s="57"/>
      <c r="Y465" s="57"/>
      <c r="Z465" s="57"/>
      <c r="AA465" s="57"/>
      <c r="AB465" s="57"/>
      <c r="AC465" s="57"/>
      <c r="AD465" s="57"/>
      <c r="AE465" s="57"/>
      <c r="AF465" s="57"/>
      <c r="AG465" s="57"/>
      <c r="AH465" s="57"/>
      <c r="AI465" s="57"/>
      <c r="AJ465" s="57"/>
    </row>
    <row r="466" spans="1:36" x14ac:dyDescent="0.25">
      <c r="A466" s="57"/>
      <c r="B466" s="57"/>
      <c r="C466" s="57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  <c r="O466" s="57"/>
      <c r="P466" s="57"/>
      <c r="Q466" s="57"/>
      <c r="R466" s="57"/>
      <c r="S466" s="57"/>
      <c r="T466" s="57"/>
      <c r="U466" s="57"/>
      <c r="V466" s="57"/>
      <c r="W466" s="57"/>
      <c r="X466" s="57"/>
      <c r="Y466" s="57"/>
      <c r="Z466" s="57"/>
      <c r="AA466" s="57"/>
      <c r="AB466" s="57"/>
      <c r="AC466" s="57"/>
      <c r="AD466" s="57"/>
      <c r="AE466" s="57"/>
      <c r="AF466" s="57"/>
      <c r="AG466" s="57"/>
      <c r="AH466" s="57"/>
      <c r="AI466" s="57"/>
      <c r="AJ466" s="57"/>
    </row>
    <row r="467" spans="1:36" x14ac:dyDescent="0.25">
      <c r="A467" s="57"/>
      <c r="B467" s="57"/>
      <c r="C467" s="57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  <c r="O467" s="57"/>
      <c r="P467" s="57"/>
      <c r="Q467" s="57"/>
      <c r="R467" s="57"/>
      <c r="S467" s="57"/>
      <c r="T467" s="57"/>
      <c r="U467" s="57"/>
      <c r="V467" s="57"/>
      <c r="W467" s="57"/>
      <c r="X467" s="57"/>
      <c r="Y467" s="57"/>
      <c r="Z467" s="57"/>
      <c r="AA467" s="57"/>
      <c r="AB467" s="57"/>
      <c r="AC467" s="57"/>
      <c r="AD467" s="57"/>
      <c r="AE467" s="57"/>
      <c r="AF467" s="57"/>
      <c r="AG467" s="57"/>
      <c r="AH467" s="57"/>
      <c r="AI467" s="57"/>
      <c r="AJ467" s="57"/>
    </row>
    <row r="468" spans="1:36" x14ac:dyDescent="0.25">
      <c r="A468" s="57"/>
      <c r="B468" s="57"/>
      <c r="C468" s="57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  <c r="O468" s="57"/>
      <c r="P468" s="57"/>
      <c r="Q468" s="57"/>
      <c r="R468" s="57"/>
      <c r="S468" s="57"/>
      <c r="T468" s="57"/>
      <c r="U468" s="57"/>
      <c r="V468" s="57"/>
      <c r="W468" s="57"/>
      <c r="X468" s="57"/>
      <c r="Y468" s="57"/>
      <c r="Z468" s="57"/>
      <c r="AA468" s="57"/>
      <c r="AB468" s="57"/>
      <c r="AC468" s="57"/>
      <c r="AD468" s="57"/>
      <c r="AE468" s="57"/>
      <c r="AF468" s="57"/>
      <c r="AG468" s="57"/>
      <c r="AH468" s="57"/>
      <c r="AI468" s="57"/>
      <c r="AJ468" s="57"/>
    </row>
    <row r="469" spans="1:36" x14ac:dyDescent="0.25">
      <c r="A469" s="57"/>
      <c r="B469" s="57"/>
      <c r="C469" s="57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  <c r="O469" s="57"/>
      <c r="P469" s="57"/>
      <c r="Q469" s="57"/>
      <c r="R469" s="57"/>
      <c r="S469" s="57"/>
      <c r="T469" s="57"/>
      <c r="U469" s="57"/>
      <c r="V469" s="57"/>
      <c r="W469" s="57"/>
      <c r="X469" s="57"/>
      <c r="Y469" s="57"/>
      <c r="Z469" s="57"/>
      <c r="AA469" s="57"/>
      <c r="AB469" s="57"/>
      <c r="AC469" s="57"/>
      <c r="AD469" s="57"/>
      <c r="AE469" s="57"/>
      <c r="AF469" s="57"/>
      <c r="AG469" s="57"/>
      <c r="AH469" s="57"/>
      <c r="AI469" s="57"/>
      <c r="AJ469" s="57"/>
    </row>
    <row r="470" spans="1:36" x14ac:dyDescent="0.25">
      <c r="A470" s="57"/>
      <c r="B470" s="57"/>
      <c r="C470" s="57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  <c r="O470" s="57"/>
      <c r="P470" s="57"/>
      <c r="Q470" s="57"/>
      <c r="R470" s="57"/>
      <c r="S470" s="57"/>
      <c r="T470" s="57"/>
      <c r="U470" s="57"/>
      <c r="V470" s="57"/>
      <c r="W470" s="57"/>
      <c r="X470" s="57"/>
      <c r="Y470" s="57"/>
      <c r="Z470" s="57"/>
      <c r="AA470" s="57"/>
      <c r="AB470" s="57"/>
      <c r="AC470" s="57"/>
      <c r="AD470" s="57"/>
      <c r="AE470" s="57"/>
      <c r="AF470" s="57"/>
      <c r="AG470" s="57"/>
      <c r="AH470" s="57"/>
      <c r="AI470" s="57"/>
      <c r="AJ470" s="57"/>
    </row>
    <row r="471" spans="1:36" x14ac:dyDescent="0.25">
      <c r="A471" s="57"/>
      <c r="B471" s="57"/>
      <c r="C471" s="57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  <c r="O471" s="57"/>
      <c r="P471" s="57"/>
      <c r="Q471" s="57"/>
      <c r="R471" s="57"/>
      <c r="S471" s="57"/>
      <c r="T471" s="57"/>
      <c r="U471" s="57"/>
      <c r="V471" s="57"/>
      <c r="W471" s="57"/>
      <c r="X471" s="57"/>
      <c r="Y471" s="57"/>
      <c r="Z471" s="57"/>
      <c r="AA471" s="57"/>
      <c r="AB471" s="57"/>
      <c r="AC471" s="57"/>
      <c r="AD471" s="57"/>
      <c r="AE471" s="57"/>
      <c r="AF471" s="57"/>
      <c r="AG471" s="57"/>
      <c r="AH471" s="57"/>
      <c r="AI471" s="57"/>
      <c r="AJ471" s="57"/>
    </row>
    <row r="472" spans="1:36" x14ac:dyDescent="0.25">
      <c r="A472" s="57"/>
      <c r="B472" s="57"/>
      <c r="C472" s="57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  <c r="O472" s="57"/>
      <c r="P472" s="57"/>
      <c r="Q472" s="57"/>
      <c r="R472" s="57"/>
      <c r="S472" s="57"/>
      <c r="T472" s="57"/>
      <c r="U472" s="57"/>
      <c r="V472" s="57"/>
      <c r="W472" s="57"/>
      <c r="X472" s="57"/>
      <c r="Y472" s="57"/>
      <c r="Z472" s="57"/>
      <c r="AA472" s="57"/>
      <c r="AB472" s="57"/>
      <c r="AC472" s="57"/>
      <c r="AD472" s="57"/>
      <c r="AE472" s="57"/>
      <c r="AF472" s="57"/>
      <c r="AG472" s="57"/>
      <c r="AH472" s="57"/>
      <c r="AI472" s="57"/>
      <c r="AJ472" s="57"/>
    </row>
    <row r="473" spans="1:36" x14ac:dyDescent="0.25">
      <c r="A473" s="57"/>
      <c r="B473" s="57"/>
      <c r="C473" s="57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  <c r="O473" s="57"/>
      <c r="P473" s="57"/>
      <c r="Q473" s="57"/>
      <c r="R473" s="57"/>
      <c r="S473" s="57"/>
      <c r="T473" s="57"/>
      <c r="U473" s="57"/>
      <c r="V473" s="57"/>
      <c r="W473" s="57"/>
      <c r="X473" s="57"/>
      <c r="Y473" s="57"/>
      <c r="Z473" s="57"/>
      <c r="AA473" s="57"/>
      <c r="AB473" s="57"/>
      <c r="AC473" s="57"/>
      <c r="AD473" s="57"/>
      <c r="AE473" s="57"/>
      <c r="AF473" s="57"/>
      <c r="AG473" s="57"/>
      <c r="AH473" s="57"/>
      <c r="AI473" s="57"/>
      <c r="AJ473" s="57"/>
    </row>
    <row r="474" spans="1:36" x14ac:dyDescent="0.25">
      <c r="A474" s="57"/>
      <c r="B474" s="57"/>
      <c r="C474" s="57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  <c r="O474" s="57"/>
      <c r="P474" s="57"/>
      <c r="Q474" s="57"/>
      <c r="R474" s="57"/>
      <c r="S474" s="57"/>
      <c r="T474" s="57"/>
      <c r="U474" s="57"/>
      <c r="V474" s="57"/>
      <c r="W474" s="57"/>
      <c r="X474" s="57"/>
      <c r="Y474" s="57"/>
      <c r="Z474" s="57"/>
      <c r="AA474" s="57"/>
      <c r="AB474" s="57"/>
      <c r="AC474" s="57"/>
      <c r="AD474" s="57"/>
      <c r="AE474" s="57"/>
      <c r="AF474" s="57"/>
      <c r="AG474" s="57"/>
      <c r="AH474" s="57"/>
      <c r="AI474" s="57"/>
      <c r="AJ474" s="57"/>
    </row>
    <row r="475" spans="1:36" x14ac:dyDescent="0.25">
      <c r="A475" s="57"/>
      <c r="B475" s="57"/>
      <c r="C475" s="57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  <c r="O475" s="57"/>
      <c r="P475" s="57"/>
      <c r="Q475" s="57"/>
      <c r="R475" s="57"/>
      <c r="S475" s="57"/>
      <c r="T475" s="57"/>
      <c r="U475" s="57"/>
      <c r="V475" s="57"/>
      <c r="W475" s="57"/>
      <c r="X475" s="57"/>
      <c r="Y475" s="57"/>
      <c r="Z475" s="57"/>
      <c r="AA475" s="57"/>
      <c r="AB475" s="57"/>
      <c r="AC475" s="57"/>
      <c r="AD475" s="57"/>
      <c r="AE475" s="57"/>
      <c r="AF475" s="57"/>
      <c r="AG475" s="57"/>
      <c r="AH475" s="57"/>
      <c r="AI475" s="57"/>
      <c r="AJ475" s="57"/>
    </row>
    <row r="476" spans="1:36" x14ac:dyDescent="0.25">
      <c r="A476" s="57"/>
      <c r="B476" s="57"/>
      <c r="C476" s="57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  <c r="O476" s="57"/>
      <c r="P476" s="57"/>
      <c r="Q476" s="57"/>
      <c r="R476" s="57"/>
      <c r="S476" s="57"/>
      <c r="T476" s="57"/>
      <c r="U476" s="57"/>
      <c r="V476" s="57"/>
      <c r="W476" s="57"/>
      <c r="X476" s="57"/>
      <c r="Y476" s="57"/>
      <c r="Z476" s="57"/>
      <c r="AA476" s="57"/>
      <c r="AB476" s="57"/>
      <c r="AC476" s="57"/>
      <c r="AD476" s="57"/>
      <c r="AE476" s="57"/>
      <c r="AF476" s="57"/>
      <c r="AG476" s="57"/>
      <c r="AH476" s="57"/>
      <c r="AI476" s="57"/>
      <c r="AJ476" s="57"/>
    </row>
    <row r="477" spans="1:36" x14ac:dyDescent="0.25">
      <c r="A477" s="57"/>
      <c r="B477" s="57"/>
      <c r="C477" s="57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  <c r="O477" s="57"/>
      <c r="P477" s="57"/>
      <c r="Q477" s="57"/>
      <c r="R477" s="57"/>
      <c r="S477" s="57"/>
      <c r="T477" s="57"/>
      <c r="U477" s="57"/>
      <c r="V477" s="57"/>
      <c r="W477" s="57"/>
      <c r="X477" s="57"/>
      <c r="Y477" s="57"/>
      <c r="Z477" s="57"/>
      <c r="AA477" s="57"/>
      <c r="AB477" s="57"/>
      <c r="AC477" s="57"/>
      <c r="AD477" s="57"/>
      <c r="AE477" s="57"/>
      <c r="AF477" s="57"/>
      <c r="AG477" s="57"/>
      <c r="AH477" s="57"/>
      <c r="AI477" s="57"/>
      <c r="AJ477" s="57"/>
    </row>
    <row r="478" spans="1:36" x14ac:dyDescent="0.25">
      <c r="A478" s="57"/>
      <c r="B478" s="57"/>
      <c r="C478" s="57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  <c r="O478" s="57"/>
      <c r="P478" s="57"/>
      <c r="Q478" s="57"/>
      <c r="R478" s="57"/>
      <c r="S478" s="57"/>
      <c r="T478" s="57"/>
      <c r="U478" s="57"/>
      <c r="V478" s="57"/>
      <c r="W478" s="57"/>
      <c r="X478" s="57"/>
      <c r="Y478" s="57"/>
      <c r="Z478" s="57"/>
      <c r="AA478" s="57"/>
      <c r="AB478" s="57"/>
      <c r="AC478" s="57"/>
      <c r="AD478" s="57"/>
      <c r="AE478" s="57"/>
      <c r="AF478" s="57"/>
      <c r="AG478" s="57"/>
      <c r="AH478" s="57"/>
      <c r="AI478" s="57"/>
      <c r="AJ478" s="57"/>
    </row>
    <row r="479" spans="1:36" x14ac:dyDescent="0.25">
      <c r="A479" s="57"/>
      <c r="B479" s="57"/>
      <c r="C479" s="57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  <c r="O479" s="57"/>
      <c r="P479" s="57"/>
      <c r="Q479" s="57"/>
      <c r="R479" s="57"/>
      <c r="S479" s="57"/>
      <c r="T479" s="57"/>
      <c r="U479" s="57"/>
      <c r="V479" s="57"/>
      <c r="W479" s="57"/>
      <c r="X479" s="57"/>
      <c r="Y479" s="57"/>
      <c r="Z479" s="57"/>
      <c r="AA479" s="57"/>
      <c r="AB479" s="57"/>
      <c r="AC479" s="57"/>
      <c r="AD479" s="57"/>
      <c r="AE479" s="57"/>
      <c r="AF479" s="57"/>
      <c r="AG479" s="57"/>
      <c r="AH479" s="57"/>
      <c r="AI479" s="57"/>
      <c r="AJ479" s="57"/>
    </row>
    <row r="480" spans="1:36" x14ac:dyDescent="0.25">
      <c r="A480" s="57"/>
      <c r="B480" s="57"/>
      <c r="C480" s="57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  <c r="O480" s="57"/>
      <c r="P480" s="57"/>
      <c r="Q480" s="57"/>
      <c r="R480" s="57"/>
      <c r="S480" s="57"/>
      <c r="T480" s="57"/>
      <c r="U480" s="57"/>
      <c r="V480" s="57"/>
      <c r="W480" s="57"/>
      <c r="X480" s="57"/>
      <c r="Y480" s="57"/>
      <c r="Z480" s="57"/>
      <c r="AA480" s="57"/>
      <c r="AB480" s="57"/>
      <c r="AC480" s="57"/>
      <c r="AD480" s="57"/>
      <c r="AE480" s="57"/>
      <c r="AF480" s="57"/>
      <c r="AG480" s="57"/>
      <c r="AH480" s="57"/>
      <c r="AI480" s="57"/>
      <c r="AJ480" s="57"/>
    </row>
    <row r="481" spans="1:36" x14ac:dyDescent="0.25">
      <c r="A481" s="57"/>
      <c r="B481" s="57"/>
      <c r="C481" s="57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  <c r="O481" s="57"/>
      <c r="P481" s="57"/>
      <c r="Q481" s="57"/>
      <c r="R481" s="57"/>
      <c r="S481" s="57"/>
      <c r="T481" s="57"/>
      <c r="U481" s="57"/>
      <c r="V481" s="57"/>
      <c r="W481" s="57"/>
      <c r="X481" s="57"/>
      <c r="Y481" s="57"/>
      <c r="Z481" s="57"/>
      <c r="AA481" s="57"/>
      <c r="AB481" s="57"/>
      <c r="AC481" s="57"/>
      <c r="AD481" s="57"/>
      <c r="AE481" s="57"/>
      <c r="AF481" s="57"/>
      <c r="AG481" s="57"/>
      <c r="AH481" s="57"/>
      <c r="AI481" s="57"/>
      <c r="AJ481" s="57"/>
    </row>
    <row r="482" spans="1:36" x14ac:dyDescent="0.25">
      <c r="A482" s="57"/>
      <c r="B482" s="57"/>
      <c r="C482" s="57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  <c r="AA482" s="57"/>
      <c r="AB482" s="57"/>
      <c r="AC482" s="57"/>
      <c r="AD482" s="57"/>
      <c r="AE482" s="57"/>
      <c r="AF482" s="57"/>
      <c r="AG482" s="57"/>
      <c r="AH482" s="57"/>
      <c r="AI482" s="57"/>
      <c r="AJ482" s="57"/>
    </row>
    <row r="1048567" spans="2:16" x14ac:dyDescent="0.25">
      <c r="B1048567" s="51"/>
      <c r="C1048567" s="52"/>
      <c r="D1048567" s="51"/>
      <c r="E1048567" s="51"/>
      <c r="F1048567" s="51"/>
      <c r="G1048567" s="51"/>
      <c r="H1048567" s="51"/>
      <c r="I1048567" s="51"/>
      <c r="J1048567" s="51"/>
      <c r="K1048567" s="51"/>
      <c r="L1048567" s="51"/>
      <c r="M1048567" s="51"/>
      <c r="N1048567" s="51"/>
      <c r="O1048567" s="51"/>
      <c r="P1048567" s="51"/>
    </row>
    <row r="1048568" spans="2:16" x14ac:dyDescent="0.25">
      <c r="B1048568" s="53" t="e">
        <f>#REF!</f>
        <v>#REF!</v>
      </c>
      <c r="C1048568" s="53" t="e">
        <f>B1048568</f>
        <v>#REF!</v>
      </c>
      <c r="D1048568" s="52" t="e">
        <f>C1048568+C1048569+#REF!</f>
        <v>#REF!</v>
      </c>
      <c r="E1048568" s="52" t="e">
        <f>D1048568</f>
        <v>#REF!</v>
      </c>
      <c r="F1048568" s="51"/>
      <c r="G1048568" s="51"/>
      <c r="H1048568" s="51"/>
      <c r="I1048568" s="51"/>
      <c r="J1048568" s="51"/>
      <c r="K1048568" s="51"/>
      <c r="L1048568" s="51"/>
      <c r="M1048568" s="51"/>
      <c r="N1048568" s="51"/>
      <c r="O1048568" s="51"/>
      <c r="P1048568" s="51"/>
    </row>
    <row r="1048569" spans="2:16" x14ac:dyDescent="0.25">
      <c r="B1048569" s="54">
        <v>0</v>
      </c>
      <c r="C1048569" s="53" t="e">
        <f>#REF!</f>
        <v>#REF!</v>
      </c>
      <c r="D1048569" s="52" t="e">
        <f>-#REF!</f>
        <v>#REF!</v>
      </c>
      <c r="E1048569" s="52" t="e">
        <f>#REF!</f>
        <v>#REF!</v>
      </c>
      <c r="F1048569" s="52" t="e">
        <f>E1048569+E1048568</f>
        <v>#REF!</v>
      </c>
      <c r="G1048569" s="51"/>
      <c r="H1048569" s="51"/>
      <c r="I1048569" s="51"/>
      <c r="J1048569" s="51"/>
      <c r="K1048569" s="51"/>
      <c r="L1048569" s="51"/>
      <c r="M1048569" s="51"/>
      <c r="N1048569" s="51"/>
      <c r="O1048569" s="51"/>
      <c r="P1048569" s="51"/>
    </row>
    <row r="1048570" spans="2:16" x14ac:dyDescent="0.25">
      <c r="B1048570" s="51"/>
      <c r="C1048570" s="51"/>
      <c r="D1048570" s="51"/>
      <c r="E1048570" s="51"/>
      <c r="F1048570" s="51"/>
      <c r="G1048570" s="51"/>
      <c r="H1048570" s="51"/>
      <c r="I1048570" s="51"/>
      <c r="J1048570" s="51"/>
      <c r="K1048570" s="51"/>
      <c r="L1048570" s="51"/>
      <c r="M1048570" s="51"/>
      <c r="N1048570" s="51"/>
      <c r="O1048570" s="51"/>
      <c r="P1048570" s="51"/>
    </row>
    <row r="1048571" spans="2:16" ht="23" x14ac:dyDescent="0.25">
      <c r="B1048571" s="55" t="s">
        <v>245</v>
      </c>
      <c r="C1048571" s="56" t="s">
        <v>243</v>
      </c>
      <c r="D1048571" s="56" t="e">
        <f>#REF!</f>
        <v>#REF!</v>
      </c>
      <c r="E1048571" s="56" t="s">
        <v>246</v>
      </c>
      <c r="F1048571" s="51" t="s">
        <v>244</v>
      </c>
      <c r="G1048571" s="51"/>
      <c r="H1048571" s="51"/>
      <c r="I1048571" s="51"/>
      <c r="J1048571" s="51"/>
      <c r="K1048571" s="51"/>
      <c r="L1048571" s="51"/>
      <c r="M1048571" s="51"/>
      <c r="N1048571" s="51"/>
      <c r="O1048571" s="51"/>
      <c r="P1048571" s="51"/>
    </row>
    <row r="1048572" spans="2:16" x14ac:dyDescent="0.25">
      <c r="B1048572" s="51"/>
      <c r="C1048572" s="52"/>
    </row>
    <row r="1048573" spans="2:16" x14ac:dyDescent="0.25">
      <c r="B1048573" s="51"/>
      <c r="C1048573" s="52"/>
    </row>
    <row r="1048574" spans="2:16" x14ac:dyDescent="0.25">
      <c r="B1048574" s="51"/>
      <c r="C1048574" s="52"/>
    </row>
    <row r="1048575" spans="2:16" x14ac:dyDescent="0.25">
      <c r="B1048575" s="51"/>
      <c r="C1048575" s="5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 --&gt;</vt:lpstr>
      <vt:lpstr>3.1 Column stacked chart</vt:lpstr>
      <vt:lpstr>3.2 Dougnut chart</vt:lpstr>
      <vt:lpstr>3.3 Area &amp; line chart</vt:lpstr>
      <vt:lpstr>3.4 Bridge 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2026-02-13T05:31:26Z</dcterms:modified>
</cp:coreProperties>
</file>