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54D0D2CB-4C12-4D6E-6EDF-ACB5E8E520A3}"/>
  <workbookPr filterPrivacy="1" codeName="ThisWorkbook" defaultThemeVersion="124226"/>
  <xr:revisionPtr revIDLastSave="0" documentId="13_ncr:1_{EFE1AC55-A353-4619-A394-82A2AD37FDF0}" xr6:coauthVersionLast="47" xr6:coauthVersionMax="47" xr10:uidLastSave="{00000000-0000-0000-0000-000000000000}"/>
  <bookViews>
    <workbookView xWindow="-110" yWindow="-110" windowWidth="19420" windowHeight="11020" firstSheet="11" activeTab="1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 --&gt;" sheetId="24" r:id="rId10"/>
    <sheet name="3.1 Column stacked chart" sheetId="29" r:id="rId11"/>
    <sheet name="3.2 Dougnut chart" sheetId="28" r:id="rId12"/>
    <sheet name="3.3 Area &amp; line chart" sheetId="26" r:id="rId13"/>
    <sheet name="3.4 Bridge Chart" sheetId="27" r:id="rId14"/>
  </sheets>
  <definedNames>
    <definedName name="_xlnm._FilterDatabase" localSheetId="3" hidden="1">'1.1 FY2016'!$C$4:$G$62</definedName>
    <definedName name="_xlnm._FilterDatabase" localSheetId="4" hidden="1">'1.2 FY2017'!$C$4:$H$86</definedName>
    <definedName name="_xlnm._FilterDatabase" localSheetId="5" hidden="1">'1.3 FY2018'!$C$4:$H$78</definedName>
    <definedName name="_xlnm._FilterDatabase" localSheetId="7" hidden="1">'2.1 Database'!$J$3:$K$108</definedName>
    <definedName name="_xlchart.v1.0" hidden="1">'3.4 Bridge Chart'!$B$4:$B$8</definedName>
    <definedName name="_xlchart.v1.1" hidden="1">'3.4 Bridge Chart'!$C$4:$C$8</definedName>
    <definedName name="_xlchart.v1.2" hidden="1">'3.4 Bridge Chart'!$B$4:$B$8</definedName>
    <definedName name="_xlchart.v1.3" hidden="1">'3.4 Bridge Chart'!$C$4:$C$8</definedName>
    <definedName name="_xlchart.v1.4" hidden="1">'3.4 Bridge Chart'!$B$4:$B$8</definedName>
    <definedName name="_xlchart.v1.5" hidden="1">'3.4 Bridge Chart'!$C$4:$C$8</definedName>
    <definedName name="_xlchart.v1.6" hidden="1">'3.4 Bridge Chart'!$B$4:$B$8</definedName>
    <definedName name="_xlchart.v1.7" hidden="1">'3.4 Bridge Chart'!$C$4:$C$8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27" l="1"/>
  <c r="C8" i="27"/>
  <c r="C7" i="27" a="1"/>
  <c r="C7" i="27" s="1"/>
  <c r="C6" i="27"/>
  <c r="C5" i="27"/>
  <c r="C4" i="27"/>
  <c r="E3" i="26"/>
  <c r="D3" i="26"/>
  <c r="C3" i="26"/>
  <c r="E3" i="28"/>
  <c r="D3" i="28"/>
  <c r="C3" i="28"/>
  <c r="E3" i="29"/>
  <c r="D3" i="29"/>
  <c r="C3" i="29"/>
  <c r="D1048571" i="27" l="1"/>
  <c r="B6" i="28"/>
  <c r="B5" i="28"/>
  <c r="B4" i="28"/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D32" i="21" s="1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D16" i="21" l="1"/>
  <c r="D11" i="21"/>
  <c r="C21" i="21"/>
  <c r="C12" i="21"/>
  <c r="D18" i="21"/>
  <c r="D13" i="21"/>
  <c r="E18" i="21"/>
  <c r="E6" i="21"/>
  <c r="E6" i="28" s="1"/>
  <c r="C4" i="29"/>
  <c r="C4" i="28"/>
  <c r="C5" i="29"/>
  <c r="C5" i="28"/>
  <c r="G14" i="21"/>
  <c r="H12" i="21"/>
  <c r="H8" i="21"/>
  <c r="E4" i="28"/>
  <c r="E4" i="29"/>
  <c r="C20" i="21"/>
  <c r="H5" i="21"/>
  <c r="E5" i="29"/>
  <c r="E5" i="28"/>
  <c r="G4" i="21"/>
  <c r="D4" i="28"/>
  <c r="D4" i="29"/>
  <c r="D5" i="29"/>
  <c r="D5" i="28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D6" i="21"/>
  <c r="E16" i="21"/>
  <c r="H16" i="21" s="1"/>
  <c r="E11" i="21"/>
  <c r="H11" i="21" s="1"/>
  <c r="E13" i="2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18" i="21" l="1"/>
  <c r="G20" i="21"/>
  <c r="G18" i="21"/>
  <c r="H13" i="21"/>
  <c r="G13" i="21"/>
  <c r="E6" i="29"/>
  <c r="D1048569" i="27"/>
  <c r="G10" i="21"/>
  <c r="C7" i="21"/>
  <c r="C9" i="21" s="1"/>
  <c r="C26" i="21" s="1"/>
  <c r="C7" i="29" s="1"/>
  <c r="C6" i="29"/>
  <c r="C6" i="28"/>
  <c r="H21" i="21"/>
  <c r="H6" i="21"/>
  <c r="D6" i="29"/>
  <c r="D6" i="28"/>
  <c r="H23" i="21"/>
  <c r="H20" i="21"/>
  <c r="E9" i="21"/>
  <c r="D7" i="21"/>
  <c r="G6" i="21"/>
  <c r="H15" i="21"/>
  <c r="H10" i="21"/>
  <c r="F61" i="1"/>
  <c r="F60" i="10" s="1"/>
  <c r="C32" i="21" s="1"/>
  <c r="C17" i="21" l="1"/>
  <c r="C27" i="21" s="1"/>
  <c r="C1048569" i="27"/>
  <c r="E1048569" i="27"/>
  <c r="D9" i="21"/>
  <c r="G7" i="21"/>
  <c r="H7" i="21"/>
  <c r="E26" i="21"/>
  <c r="E7" i="29" s="1"/>
  <c r="E17" i="21"/>
  <c r="C17" i="7"/>
  <c r="C16" i="7"/>
  <c r="C15" i="7"/>
  <c r="C14" i="7"/>
  <c r="C12" i="7"/>
  <c r="C11" i="7"/>
  <c r="C9" i="7"/>
  <c r="C8" i="7"/>
  <c r="C7" i="7"/>
  <c r="C19" i="21" l="1"/>
  <c r="C22" i="21" s="1"/>
  <c r="C24" i="21" s="1"/>
  <c r="C33" i="21" s="1"/>
  <c r="E19" i="21"/>
  <c r="E27" i="21"/>
  <c r="G9" i="21"/>
  <c r="D26" i="21"/>
  <c r="D7" i="29" s="1"/>
  <c r="D17" i="21"/>
  <c r="H9" i="21"/>
  <c r="C28" i="21" l="1"/>
  <c r="B1048568" i="27"/>
  <c r="C1048568" i="27" s="1"/>
  <c r="D1048568" i="27" s="1"/>
  <c r="E1048568" i="27" s="1"/>
  <c r="F1048569" i="27" s="1"/>
  <c r="E22" i="2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<sst xmlns="http://schemas.openxmlformats.org/spreadsheetml/2006/main" count="970" uniqueCount="260">
  <si>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</si>
  <si>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</si>
  <si>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</si>
  <si>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</si>
  <si>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</si>
  <si>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</si>
  <si>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</si>
  <si>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</si>
  <si>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</si>
  <si>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</si>
  <si>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</si>
  <si>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</si>
  <si>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</si>
  <si>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</si>
  <si>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</si>
  <si>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</si>
  <si>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</si>
  <si>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</si>
  <si>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</si>
  <si>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</si>
  <si>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</si>
  <si>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</si>
  <si>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</si>
  <si>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</si>
  <si>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</si>
  <si>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</si>
  <si>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</si>
  <si>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</si>
  <si>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</si>
  <si>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</si>
  <si>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</si>
  <si>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</si>
  <si>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</si>
  <si>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</si>
  <si>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</si>
  <si>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</si>
  <si>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</si>
  <si>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</si>
  <si>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</si>
  <si>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</si>
  <si>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</si>
  <si>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</si>
  <si>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</si>
  <si>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</si>
  <si>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</si>
  <si>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</si>
  <si>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</si>
  <si>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</si>
  <si>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</si>
  <si>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</si>
  <si>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</si>
  <si>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</si>
  <si>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</si>
  <si>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</si>
  <si>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</si>
  <si>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</si>
  <si>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</si>
  <si>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</si>
  <si>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</si>
  <si>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</si>
  <si>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</si>
  <si>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</si>
  <si>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</si>
  <si>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</si>
  <si>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</si>
  <si>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</si>
  <si>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</si>
  <si>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</si>
  <si>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</si>
  <si>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</si>
  <si>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</si>
  <si>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</si>
  <si>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</si>
  <si>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</si>
  <si>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</si>
  <si>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</si>
  <si>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</si>
  <si>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</si>
  <si>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</si>
  <si>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</si>
  <si>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</si>
  <si>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</si>
  <si>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</si>
  <si>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</si>
  <si>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</si>
  <si>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</si>
  <si>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</si>
  <si>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</si>
  <si>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</si>
  <si>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</si>
  <si>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</si>
  <si>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</si>
  <si>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</si>
  <si>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Doughnut chart</t>
  </si>
  <si>
    <t>Bridge chart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</si>
  <si>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</si>
  <si>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</si>
  <si>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</si>
  <si>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</si>
  <si>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</si>
  <si>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</si>
  <si>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</si>
  <si>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</si>
  <si>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</si>
  <si>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</si>
  <si>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</si>
  <si>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</si>
  <si>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</si>
  <si>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</si>
  <si>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</si>
  <si>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</si>
  <si>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</si>
  <si>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</si>
  <si>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</si>
  <si>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</si>
  <si>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</si>
  <si>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</si>
  <si>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</si>
  <si>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</si>
  <si>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</si>
  <si>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</si>
  <si>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</si>
  <si>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</si>
  <si>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</si>
  <si>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</si>
  <si>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</si>
  <si>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</si>
  <si>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</si>
  <si>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</si>
  <si>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</si>
  <si>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</si>
  <si>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</si>
  <si>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</si>
  <si>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</si>
  <si>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</si>
  <si>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</si>
  <si>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</si>
  <si>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</si>
  <si>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</si>
  <si>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</si>
  <si>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</si>
  <si>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</si>
  <si>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</si>
  <si>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</si>
  <si>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</si>
  <si>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</si>
  <si>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</si>
  <si>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</si>
  <si>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</si>
  <si>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</si>
  <si>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</si>
  <si>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</si>
  <si>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</si>
  <si>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</si>
  <si>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</si>
  <si>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</si>
  <si>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</si>
  <si>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</si>
  <si>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</si>
  <si>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</si>
  <si>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</si>
  <si>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</si>
  <si>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</si>
  <si>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</si>
  <si>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</si>
  <si>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</si>
  <si>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</si>
  <si>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</si>
  <si>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</si>
  <si>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</si>
  <si>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</si>
  <si>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</si>
  <si>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</si>
  <si>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</si>
  <si>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</si>
  <si>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</si>
  <si>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</si>
  <si>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</si>
  <si>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</si>
  <si>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</si>
  <si>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</si>
  <si>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</si>
  <si>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</si>
  <si>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</si>
  <si>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</si>
  <si>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</si>
  <si>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</si>
  <si>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</si>
  <si>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</si>
  <si>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</si>
  <si>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</si>
  <si>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</si>
  <si>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</si>
  <si>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</si>
  <si>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</si>
  <si>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</si>
  <si>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</si>
  <si>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</si>
  <si>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</si>
  <si>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</si>
  <si>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</si>
  <si>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</si>
  <si>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</si>
  <si>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</si>
  <si>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</si>
  <si>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</si>
  <si>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</si>
  <si>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</si>
  <si>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</si>
  <si>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</si>
  <si>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</si>
  <si>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</si>
  <si>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</si>
  <si>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</si>
  <si>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</si>
  <si>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</si>
  <si>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</si>
  <si>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</si>
  <si>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</si>
  <si>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</si>
  <si>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</si>
  <si>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</si>
  <si>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</si>
  <si>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</si>
  <si>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</si>
  <si>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</si>
  <si>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</si>
  <si>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</si>
  <si>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</si>
  <si>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</si>
  <si>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</si>
  <si>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</si>
  <si>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</si>
  <si>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</si>
  <si>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IF(ISERROR((D4/C4)-1),"n.a.",IF(((D4/C4)-1)&gt;1,"&gt;100.0%",IF(((D4/C4)-1)&lt;-1,"&lt;-100.0%",((D4/C4)-1))))</t>
  </si>
  <si>
    <t>Formula for calculating y-o-y % variations:</t>
  </si>
  <si>
    <t>Gross Margin %</t>
  </si>
  <si>
    <t>EBITDA %</t>
  </si>
  <si>
    <t>EBIT %</t>
  </si>
  <si>
    <t>Column stacked chart</t>
  </si>
  <si>
    <t xml:space="preserve"> </t>
  </si>
  <si>
    <t>Area &amp; Line chart</t>
  </si>
  <si>
    <t>Revenues</t>
  </si>
  <si>
    <t>Change in Revenues</t>
  </si>
  <si>
    <t>EBITDA FY13</t>
  </si>
  <si>
    <t>EBITDA 
FY12</t>
  </si>
  <si>
    <t>Change in
Opex</t>
  </si>
  <si>
    <t>FY16</t>
  </si>
  <si>
    <t>FY17</t>
  </si>
  <si>
    <t>FY18</t>
  </si>
  <si>
    <t>Var%
FY16-FY17</t>
  </si>
  <si>
    <t>Var%
FY17-FY18</t>
  </si>
  <si>
    <t>FY2018</t>
  </si>
  <si>
    <t>FY2017</t>
  </si>
  <si>
    <t>FY2016</t>
  </si>
  <si>
    <t>EBITDA FY17</t>
  </si>
  <si>
    <t>Change in Variable 
costs</t>
  </si>
  <si>
    <t>Change in Opex</t>
  </si>
  <si>
    <t>EBITDA FY18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</si>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</sst>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  <numFmt numFmtId="168" formatCode="0.0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3" fillId="2" borderId="2" xfId="0" applyNumberFormat="1" applyFont="1" applyFill="1" applyBorder="1"/>
    <xf numFmtId="165" fontId="15" fillId="2" borderId="3" xfId="0" applyNumberFormat="1" applyFont="1" applyFill="1" applyBorder="1"/>
    <xf numFmtId="165" fontId="9" fillId="3" borderId="3" xfId="0" applyNumberFormat="1" applyFont="1" applyFill="1" applyBorder="1"/>
    <xf numFmtId="165" fontId="15" fillId="2" borderId="4" xfId="0" applyNumberFormat="1" applyFont="1" applyFill="1" applyBorder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  <xf numFmtId="2" fontId="1" fillId="2" borderId="0" xfId="0" applyNumberFormat="1" applyFont="1" applyFill="1"/>
    <xf numFmtId="168" fontId="1" fillId="2" borderId="0" xfId="0" applyNumberFormat="1" applyFont="1" applyFill="1"/>
    <xf numFmtId="167" fontId="1" fillId="2" borderId="0" xfId="4" applyNumberFormat="1" applyFont="1" applyFill="1"/>
    <xf numFmtId="167" fontId="1" fillId="2" borderId="0" xfId="4" applyNumberFormat="1" applyFont="1" applyFill="1" applyAlignment="1">
      <alignment horizontal="right"/>
    </xf>
    <xf numFmtId="0" fontId="17" fillId="2" borderId="0" xfId="0" applyFont="1" applyFill="1"/>
    <xf numFmtId="168" fontId="17" fillId="2" borderId="0" xfId="0" applyNumberFormat="1" applyFont="1" applyFill="1"/>
    <xf numFmtId="168" fontId="17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17" fillId="2" borderId="0" xfId="0" applyFont="1" applyFill="1" applyAlignment="1">
      <alignment vertical="top" wrapText="1"/>
    </xf>
    <xf numFmtId="168" fontId="17" fillId="2" borderId="0" xfId="0" applyNumberFormat="1" applyFont="1" applyFill="1" applyAlignment="1">
      <alignment vertical="top" wrapText="1"/>
    </xf>
    <xf numFmtId="166" fontId="1" fillId="2" borderId="0" xfId="0" applyNumberFormat="1" applyFont="1" applyFill="1"/>
    <xf numFmtId="166" fontId="1" fillId="2" borderId="0" xfId="0" applyNumberFormat="1" applyFont="1" applyFill="1" applyAlignment="1"/>
    <xf numFmtId="166" fontId="1" fillId="4" borderId="0" xfId="0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2-45B8-A5FA-DA37DA9D3E57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2-45B8-A5FA-DA37DA9D3E57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956288"/>
        <c:axId val="4095782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marker>
            <c:symbol val="none"/>
          </c:marker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9984"/>
        <c:axId val="40959360"/>
      </c:lineChart>
      <c:catAx>
        <c:axId val="409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57824"/>
        <c:crosses val="autoZero"/>
        <c:auto val="1"/>
        <c:lblAlgn val="ctr"/>
        <c:lblOffset val="100"/>
        <c:noMultiLvlLbl val="0"/>
      </c:catAx>
      <c:valAx>
        <c:axId val="40957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40956288"/>
        <c:crosses val="autoZero"/>
        <c:crossBetween val="between"/>
        <c:majorUnit val="10"/>
      </c:valAx>
      <c:valAx>
        <c:axId val="4095936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85369984"/>
        <c:crosses val="max"/>
        <c:crossBetween val="between"/>
        <c:majorUnit val="2.0000000000000004E-2"/>
      </c:valAx>
      <c:catAx>
        <c:axId val="853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93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6-4BCD-B4F9-A02907E2EE2C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6-4BCD-B4F9-A02907E2EE2C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10986816"/>
        <c:axId val="61098386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007480"/>
        <c:axId val="611003872"/>
      </c:lineChart>
      <c:catAx>
        <c:axId val="6109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3864"/>
        <c:crosses val="autoZero"/>
        <c:auto val="1"/>
        <c:lblAlgn val="ctr"/>
        <c:lblOffset val="100"/>
        <c:noMultiLvlLbl val="0"/>
      </c:catAx>
      <c:valAx>
        <c:axId val="6109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6816"/>
        <c:crosses val="autoZero"/>
        <c:crossBetween val="between"/>
      </c:valAx>
      <c:valAx>
        <c:axId val="6110038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1007480"/>
        <c:crosses val="max"/>
        <c:crossBetween val="between"/>
      </c:valAx>
      <c:catAx>
        <c:axId val="61100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003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solidFill>
                  <a:srgbClr val="002060"/>
                </a:solidFill>
              </a:defRPr>
            </a:pPr>
            <a:r>
              <a:rPr lang="en-US" sz="900">
                <a:solidFill>
                  <a:srgbClr val="002060"/>
                </a:solidFill>
              </a:rPr>
              <a:t>Breakdown of Revenues</a:t>
            </a:r>
            <a:r>
              <a:rPr lang="en-US" sz="900" baseline="0">
                <a:solidFill>
                  <a:srgbClr val="002060"/>
                </a:solidFill>
              </a:rPr>
              <a:t> in FY18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5.7040998217468802E-2"/>
          <c:y val="4.5528431968026646E-2"/>
        </c:manualLayout>
      </c:layout>
      <c:overlay val="0"/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5D8-4731-A85F-CAC7E3B9698A}"/>
              </c:ext>
            </c:extLst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5D8-4731-A85F-CAC7E3B9698A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5D8-4731-A85F-CAC7E3B9698A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Net Sales</c:v>
              </c:pt>
              <c:pt idx="1">
                <c:v>Other revenues</c:v>
              </c:pt>
              <c:pt idx="2">
                <c:v>Recharges</c:v>
              </c:pt>
            </c:strLit>
          </c:cat>
          <c:val>
            <c:numLit>
              <c:formatCode>General</c:formatCode>
              <c:ptCount val="3"/>
              <c:pt idx="0">
                <c:v>15.047803019</c:v>
              </c:pt>
              <c:pt idx="1">
                <c:v>6.3736175140000002</c:v>
              </c:pt>
              <c:pt idx="2">
                <c:v>4.8931777299999997</c:v>
              </c:pt>
            </c:numLit>
          </c:val>
          <c:extLst>
            <c:ext xmlns:c16="http://schemas.microsoft.com/office/drawing/2014/chart" uri="{C3380CC4-5D6E-409C-BE32-E72D297353CC}">
              <c16:uniqueId val="{00000006-25D8-4731-A85F-CAC7E3B96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</a:rPr>
              <a:t>Breakdown of Revenues in FY18</a:t>
            </a:r>
          </a:p>
        </c:rich>
      </c:tx>
      <c:layout>
        <c:manualLayout>
          <c:xMode val="edge"/>
          <c:yMode val="edge"/>
          <c:x val="3.5440613026819917E-2"/>
          <c:y val="4.55797627904043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83-4586-A6D1-91F628CEDC19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383-4586-A6D1-91F628CEDC19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83-4586-A6D1-91F628CEDC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'3.2 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'3.2 Dougnut chart'!$E$4:$E$6</c:f>
              <c:numCache>
                <c:formatCode>0.0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3-4586-A6D1-91F628CED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900">
                <a:solidFill>
                  <a:srgbClr val="002060"/>
                </a:solidFill>
              </a:rPr>
              <a:t>FY16-FY18</a:t>
            </a:r>
            <a:r>
              <a:rPr lang="en-US" sz="900" baseline="0">
                <a:solidFill>
                  <a:srgbClr val="002060"/>
                </a:solidFill>
              </a:rPr>
              <a:t> Revenues and Gross Margin %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4631889763779524E-2"/>
          <c:y val="2.7777777777777776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Revenues</c:v>
          </c:tx>
          <c:cat>
            <c:strRef>
              <c:f>'3.3 Area &amp; line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Lit>
              <c:formatCode>0.0</c:formatCode>
              <c:ptCount val="3"/>
              <c:pt idx="0">
                <c:v>22.515251444</c:v>
              </c:pt>
              <c:pt idx="1">
                <c:v>26.032605005000001</c:v>
              </c:pt>
              <c:pt idx="2">
                <c:v>26.314598263000001</c:v>
              </c:pt>
            </c:numLit>
          </c:val>
          <c:extLst>
            <c:ext xmlns:c16="http://schemas.microsoft.com/office/drawing/2014/chart" uri="{C3380CC4-5D6E-409C-BE32-E72D297353CC}">
              <c16:uniqueId val="{00000000-CD84-4446-8E32-DED52CDE6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214400"/>
        <c:axId val="264215936"/>
      </c:areaChart>
      <c:lineChart>
        <c:grouping val="standard"/>
        <c:varyColors val="0"/>
        <c:ser>
          <c:idx val="1"/>
          <c:order val="1"/>
          <c:tx>
            <c:v>Gross Margin %</c:v>
          </c:tx>
          <c:marker>
            <c:symbol val="none"/>
          </c:marker>
          <c:val>
            <c:numLit>
              <c:formatCode>0.0%</c:formatCode>
              <c:ptCount val="3"/>
              <c:pt idx="0">
                <c:v>0.80329281353949789</c:v>
              </c:pt>
              <c:pt idx="1">
                <c:v>0.79014052477841912</c:v>
              </c:pt>
              <c:pt idx="2">
                <c:v>0.78437246085651935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CD84-4446-8E32-DED52CDE6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826624"/>
        <c:axId val="263506944"/>
      </c:lineChart>
      <c:catAx>
        <c:axId val="26421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215936"/>
        <c:crosses val="autoZero"/>
        <c:auto val="1"/>
        <c:lblAlgn val="ctr"/>
        <c:lblOffset val="100"/>
        <c:noMultiLvlLbl val="0"/>
      </c:catAx>
      <c:valAx>
        <c:axId val="264215936"/>
        <c:scaling>
          <c:orientation val="minMax"/>
          <c:max val="30"/>
          <c:min val="2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5000"/>
                </a:schemeClr>
              </a:solidFill>
            </a:ln>
          </c:spPr>
        </c:majorGridlines>
        <c:numFmt formatCode="0.0" sourceLinked="1"/>
        <c:majorTickMark val="out"/>
        <c:minorTickMark val="none"/>
        <c:tickLblPos val="nextTo"/>
        <c:spPr>
          <a:ln>
            <a:noFill/>
          </a:ln>
        </c:spPr>
        <c:crossAx val="264214400"/>
        <c:crosses val="autoZero"/>
        <c:crossBetween val="between"/>
        <c:majorUnit val="2"/>
      </c:valAx>
      <c:valAx>
        <c:axId val="263506944"/>
        <c:scaling>
          <c:orientation val="minMax"/>
          <c:max val="0.82000000000000006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324826624"/>
        <c:crosses val="max"/>
        <c:crossBetween val="between"/>
        <c:majorUnit val="2.0000000000000004E-2"/>
      </c:valAx>
      <c:catAx>
        <c:axId val="324826624"/>
        <c:scaling>
          <c:orientation val="minMax"/>
        </c:scaling>
        <c:delete val="1"/>
        <c:axPos val="b"/>
        <c:majorTickMark val="out"/>
        <c:minorTickMark val="none"/>
        <c:tickLblPos val="nextTo"/>
        <c:crossAx val="26350694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 i="0" baseline="0">
                <a:solidFill>
                  <a:srgbClr val="002060"/>
                </a:solidFill>
                <a:effectLst/>
              </a:rPr>
              <a:t>FY16-FY18 Revenues and Gross Margin %</a:t>
            </a:r>
            <a:endParaRPr lang="en-US" sz="900" b="1">
              <a:solidFill>
                <a:srgbClr val="002060"/>
              </a:solidFill>
              <a:effectLst/>
            </a:endParaRPr>
          </a:p>
        </c:rich>
      </c:tx>
      <c:layout>
        <c:manualLayout>
          <c:xMode val="edge"/>
          <c:yMode val="edge"/>
          <c:x val="3.5132748881587815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'3.3 Area &amp; line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'3.3 Area &amp; line chart'!$C$2:$E$3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'3.3 Area &amp; line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D-4E55-84EE-80E3D30AB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175520"/>
        <c:axId val="583171912"/>
      </c:areaChart>
      <c:lineChart>
        <c:grouping val="standard"/>
        <c:varyColors val="0"/>
        <c:ser>
          <c:idx val="1"/>
          <c:order val="1"/>
          <c:tx>
            <c:strRef>
              <c:f>'3.3 Area &amp; line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'3.3 Area &amp; line chart'!$C$5:$E$5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FDD-4E55-84EE-80E3D30AB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190280"/>
        <c:axId val="583196840"/>
      </c:lineChart>
      <c:catAx>
        <c:axId val="58317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71912"/>
        <c:crosses val="autoZero"/>
        <c:auto val="1"/>
        <c:lblAlgn val="ctr"/>
        <c:lblOffset val="100"/>
        <c:noMultiLvlLbl val="0"/>
      </c:catAx>
      <c:valAx>
        <c:axId val="583171912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  <a:alpha val="2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75520"/>
        <c:crosses val="autoZero"/>
        <c:crossBetween val="between"/>
        <c:majorUnit val="2"/>
      </c:valAx>
      <c:valAx>
        <c:axId val="58319684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3190280"/>
        <c:crosses val="max"/>
        <c:crossBetween val="between"/>
        <c:majorUnit val="2.0000000000000004E-2"/>
      </c:valAx>
      <c:catAx>
        <c:axId val="583190280"/>
        <c:scaling>
          <c:orientation val="minMax"/>
        </c:scaling>
        <c:delete val="1"/>
        <c:axPos val="b"/>
        <c:majorTickMark val="out"/>
        <c:minorTickMark val="none"/>
        <c:tickLblPos val="nextTo"/>
        <c:crossAx val="583196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title pos="t" align="ctr" overlay="0">
      <cx:tx>
        <cx:txData>
          <cx:v>EBITA bridge: FY17-FY18</cx:v>
        </cx:txData>
      </cx:tx>
      <cx:txPr>
        <a:bodyPr vertOverflow="overflow" horzOverflow="overflow" wrap="square" lIns="0" tIns="0" rIns="0" bIns="0"/>
        <a:lstStyle/>
        <a:p>
          <a:pPr algn="ctr" rtl="0">
            <a:defRPr sz="900" b="0" i="0">
              <a:solidFill>
                <a:srgbClr val="595959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IN" sz="1050" b="1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EBITA bridge: FY17-FY18</a:t>
          </a:r>
        </a:p>
      </cx:txPr>
    </cx:title>
    <cx:plotArea>
      <cx:plotAreaRegion>
        <cx:series layoutId="waterfall" uniqueId="{C7E7273D-DF36-47F4-A643-C940925AF6D7}"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00B050"/>
              </a:solidFill>
            </cx:spPr>
          </cx:dataPt>
          <cx:dataPt idx="2">
            <cx:spPr>
              <a:solidFill>
                <a:srgbClr val="FF0000"/>
              </a:solidFill>
            </cx:spPr>
          </cx:dataPt>
          <cx:dataPt idx="3">
            <cx:spPr>
              <a:solidFill>
                <a:srgbClr val="00B050"/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outEnd">
            <cx:txPr>
              <a:bodyPr vertOverflow="overflow" horzOverflow="overflow" wrap="square" lIns="0" tIns="0" rIns="0" bIns="0"/>
              <a:lstStyle/>
              <a:p>
                <a:pPr algn="ctr" rtl="0">
                  <a:defRPr sz="900" b="0" i="0">
                    <a:solidFill>
                      <a:srgbClr val="595959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IN"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1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IN" b="1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title>
          <cx:tx>
            <cx:txData>
              <cx:v>Euro in millions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b="1"/>
              </a:pPr>
              <a:r>
                <a:rPr lang="en-US" sz="900" b="1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/>
                </a:rPr>
                <a:t>Euro in millions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IN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110343</xdr:colOff>
      <xdr:row>12</xdr:row>
      <xdr:rowOff>29600</xdr:rowOff>
    </xdr:from>
    <xdr:to>
      <xdr:col>15</xdr:col>
      <xdr:colOff>260838</xdr:colOff>
      <xdr:row>24</xdr:row>
      <xdr:rowOff>41981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110343</xdr:colOff>
      <xdr:row>10</xdr:row>
      <xdr:rowOff>58907</xdr:rowOff>
    </xdr:from>
    <xdr:to>
      <xdr:col>11</xdr:col>
      <xdr:colOff>68433</xdr:colOff>
      <xdr:row>11</xdr:row>
      <xdr:rowOff>97008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573297" y="1635661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2</xdr:col>
      <xdr:colOff>146393</xdr:colOff>
      <xdr:row>12</xdr:row>
      <xdr:rowOff>34991</xdr:rowOff>
    </xdr:from>
    <xdr:to>
      <xdr:col>8</xdr:col>
      <xdr:colOff>297593</xdr:colOff>
      <xdr:row>24</xdr:row>
      <xdr:rowOff>41981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992153-36AB-4437-B06D-8C1BB19FC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575456</xdr:colOff>
      <xdr:row>12</xdr:row>
      <xdr:rowOff>48211</xdr:rowOff>
    </xdr:from>
    <xdr:to>
      <xdr:col>13</xdr:col>
      <xdr:colOff>491636</xdr:colOff>
      <xdr:row>26</xdr:row>
      <xdr:rowOff>6301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F919AB-85D3-48B0-936D-9CD55B10EC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196361</xdr:colOff>
      <xdr:row>10</xdr:row>
      <xdr:rowOff>147271</xdr:rowOff>
    </xdr:from>
    <xdr:to>
      <xdr:col>10</xdr:col>
      <xdr:colOff>154451</xdr:colOff>
      <xdr:row>12</xdr:row>
      <xdr:rowOff>32972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C0BB025-0595-471D-9BEA-66BFE0A7FD81}"/>
            </a:ext>
          </a:extLst>
        </xdr:cNvPr>
        <xdr:cNvSpPr/>
      </xdr:nvSpPr>
      <xdr:spPr>
        <a:xfrm>
          <a:off x="5237284" y="1724025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1131132</xdr:colOff>
      <xdr:row>12</xdr:row>
      <xdr:rowOff>48211</xdr:rowOff>
    </xdr:from>
    <xdr:to>
      <xdr:col>7</xdr:col>
      <xdr:colOff>413234</xdr:colOff>
      <xdr:row>26</xdr:row>
      <xdr:rowOff>8116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66775D-E38A-44BB-B012-B9FDDFC841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0.25758</cdr:x>
      <cdr:y>0.48402</cdr:y>
    </cdr:from>
    <cdr:to>
      <cdr:x>0.48128</cdr:x>
      <cdr:y>0.59361</cdr:y>
    </cdr:to>
    <cdr:sp macro="" textlink="">
      <cdr:nvSpPr>
        <cdr:cNvPr id="3" name="TextBox 5"/>
        <cdr:cNvSpPr txBox="1"/>
      </cdr:nvSpPr>
      <cdr:spPr>
        <a:xfrm xmlns:a="http://schemas.openxmlformats.org/drawingml/2006/main">
          <a:off x="917575" y="1009652"/>
          <a:ext cx="796925" cy="2286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€26.3m</a:t>
          </a:r>
          <a:endParaRPr lang="en-US" sz="900">
            <a:effectLst/>
            <a:latin typeface="Arial" pitchFamily="34" charset="0"/>
            <a:cs typeface="Arial" pitchFamily="34" charset="0"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0.25703</cdr:x>
      <cdr:y>0.48933</cdr:y>
    </cdr:from>
    <cdr:to>
      <cdr:x>0.45685</cdr:x>
      <cdr:y>0.60868</cdr:y>
    </cdr:to>
    <cdr:sp macro="" textlink="">
      <cdr:nvSpPr>
        <cdr:cNvPr id="2" name="TextBox 5">
          <a:extLst xmlns:a="http://schemas.openxmlformats.org/drawingml/2006/main">
            <a:ext uri="{FF2B5EF4-FFF2-40B4-BE49-F238E27FC236}">
              <a16:creationId xmlns:a16="http://schemas.microsoft.com/office/drawing/2014/main" id="{47F62A98-B15E-4340-B9C2-99BFE2CCB3FB}"/>
            </a:ext>
          </a:extLst>
        </cdr:cNvPr>
        <cdr:cNvSpPr txBox="1"/>
      </cdr:nvSpPr>
      <cdr:spPr>
        <a:xfrm xmlns:a="http://schemas.openxmlformats.org/drawingml/2006/main">
          <a:off x="851974" y="953477"/>
          <a:ext cx="662354" cy="23255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€26.3m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499110</xdr:colOff>
      <xdr:row>9</xdr:row>
      <xdr:rowOff>45720</xdr:rowOff>
    </xdr:from>
    <xdr:to>
      <xdr:col>17</xdr:col>
      <xdr:colOff>196215</xdr:colOff>
      <xdr:row>27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A241B2-30DD-46D4-B3F7-FC0A20D53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535305</xdr:colOff>
      <xdr:row>8</xdr:row>
      <xdr:rowOff>38100</xdr:rowOff>
    </xdr:from>
    <xdr:to>
      <xdr:col>11</xdr:col>
      <xdr:colOff>495300</xdr:colOff>
      <xdr:row>9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752D0B2-18D0-4DEB-AF70-F830EDCAEF6E}"/>
            </a:ext>
          </a:extLst>
        </xdr:cNvPr>
        <xdr:cNvSpPr/>
      </xdr:nvSpPr>
      <xdr:spPr>
        <a:xfrm>
          <a:off x="6296025" y="1310640"/>
          <a:ext cx="1179195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1045845</xdr:colOff>
      <xdr:row>9</xdr:row>
      <xdr:rowOff>4445</xdr:rowOff>
    </xdr:from>
    <xdr:to>
      <xdr:col>8</xdr:col>
      <xdr:colOff>601345</xdr:colOff>
      <xdr:row>27</xdr:row>
      <xdr:rowOff>4445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85E2615-D7EF-43D2-8915-14BC1067C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22224</xdr:colOff>
      <xdr:row>2</xdr:row>
      <xdr:rowOff>53974</xdr:rowOff>
    </xdr:from>
    <xdr:to>
      <xdr:col>13</xdr:col>
      <xdr:colOff>603249</xdr:colOff>
      <xdr:row>24</xdr:row>
      <xdr:rowOff>44449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3BFB1DA-5DFA-C122-BC6D-0C65B73A54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98974" y="396874"/>
              <a:ext cx="5851525" cy="3203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95</v>
      </c>
    </row>
    <row r="2" spans="2:4" x14ac:dyDescent="0.25">
      <c r="B2" s="5" t="s">
        <v>55</v>
      </c>
    </row>
    <row r="4" spans="2:4" ht="12" thickBot="1" x14ac:dyDescent="0.3">
      <c r="B4" s="11" t="s">
        <v>56</v>
      </c>
      <c r="C4" s="11" t="s">
        <v>57</v>
      </c>
      <c r="D4" s="11" t="s">
        <v>58</v>
      </c>
    </row>
    <row r="5" spans="2:4" x14ac:dyDescent="0.25">
      <c r="B5" s="6">
        <v>1</v>
      </c>
      <c r="C5" s="2" t="s">
        <v>59</v>
      </c>
    </row>
    <row r="6" spans="2:4" x14ac:dyDescent="0.25">
      <c r="B6" s="9">
        <v>2</v>
      </c>
      <c r="C6" s="10" t="s">
        <v>60</v>
      </c>
      <c r="D6" s="10"/>
    </row>
    <row r="7" spans="2:4" x14ac:dyDescent="0.25">
      <c r="B7" s="6">
        <v>3</v>
      </c>
      <c r="C7" s="13" t="str">
        <f>+"1.1 "&amp;'1.1 FY2016'!C1</f>
        <v>1.1 FY2016</v>
      </c>
    </row>
    <row r="8" spans="2:4" x14ac:dyDescent="0.25">
      <c r="B8" s="6">
        <v>4</v>
      </c>
      <c r="C8" s="13" t="str">
        <f>"1.2 "&amp;'1.2 FY2017'!B1</f>
        <v>1.2 FY2017</v>
      </c>
    </row>
    <row r="9" spans="2:4" x14ac:dyDescent="0.25">
      <c r="B9" s="6">
        <v>5</v>
      </c>
      <c r="C9" s="13" t="str">
        <f>"1.3 "&amp;'1.3 FY2018'!B1</f>
        <v>1.3 FY2018</v>
      </c>
    </row>
    <row r="10" spans="2:4" x14ac:dyDescent="0.25">
      <c r="B10" s="9">
        <v>6</v>
      </c>
      <c r="C10" s="10" t="s">
        <v>89</v>
      </c>
      <c r="D10" s="10"/>
    </row>
    <row r="11" spans="2:4" x14ac:dyDescent="0.25">
      <c r="B11" s="6">
        <v>7</v>
      </c>
      <c r="C11" s="13" t="str">
        <f>+"2.1 "&amp;'2.1 Database'!B1</f>
        <v>2.1 Database</v>
      </c>
    </row>
    <row r="12" spans="2:4" x14ac:dyDescent="0.25">
      <c r="B12" s="6">
        <v>8</v>
      </c>
      <c r="C12" s="13" t="str">
        <f>+"2.2 "&amp;'2.2 P&amp;L statement'!B1</f>
        <v>2.2 P&amp;L statement</v>
      </c>
    </row>
    <row r="13" spans="2:4" x14ac:dyDescent="0.25">
      <c r="B13" s="7">
        <v>19</v>
      </c>
      <c r="C13" s="10" t="s">
        <v>90</v>
      </c>
      <c r="D13" s="8"/>
    </row>
    <row r="14" spans="2:4" x14ac:dyDescent="0.25">
      <c r="B14" s="6">
        <v>20</v>
      </c>
      <c r="C14" s="13" t="str">
        <f>+"3.1 "&amp;'3.1 Column stacked chart'!B1</f>
        <v>3.1 Column stacked chart</v>
      </c>
    </row>
    <row r="15" spans="2:4" x14ac:dyDescent="0.25">
      <c r="B15" s="6">
        <v>21</v>
      </c>
      <c r="C15" s="13" t="str">
        <f>+"3.2 "&amp;'3.2 Dougnut chart'!B1</f>
        <v>3.2 Doughnut chart</v>
      </c>
    </row>
    <row r="16" spans="2:4" x14ac:dyDescent="0.25">
      <c r="B16" s="6">
        <v>22</v>
      </c>
      <c r="C16" s="13" t="str">
        <f>"3.3 "&amp;'3.3 Area &amp; line chart'!B1</f>
        <v>3.3 Area &amp; Line chart</v>
      </c>
    </row>
    <row r="17" spans="2:3" x14ac:dyDescent="0.25">
      <c r="B17" s="6">
        <v>23</v>
      </c>
      <c r="C17" s="13" t="str">
        <f>+"3.4 "&amp;'3.4 Bridge Chart'!B1</f>
        <v>3.4 Bridge chart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40" x14ac:dyDescent="0.8">
      <c r="B12" s="1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D1" sqref="D1"/>
    </sheetView>
  </sheetViews>
  <sheetFormatPr defaultColWidth="9.08984375" defaultRowHeight="14.5" x14ac:dyDescent="0.35"/>
  <cols>
    <col min="1" max="1" width="2" style="2" customWidth="1"/>
    <col min="2" max="2" width="17.36328125" style="1" bestFit="1" customWidth="1"/>
    <col min="3" max="3" width="27.453125" style="2" bestFit="1" customWidth="1"/>
    <col min="4" max="4" width="29.54296875" style="2" customWidth="1"/>
    <col min="5" max="5" width="28" style="2" customWidth="1"/>
    <col min="6" max="6" width="11.453125" style="2" customWidth="1"/>
    <col min="7" max="7" width="16.08984375" style="2" bestFit="1" customWidth="1"/>
    <col min="8" max="8" width="8.90625" style="2"/>
    <col min="9" max="16384" width="9.08984375" style="2"/>
  </cols>
  <sheetData>
    <row r="1" spans="2:9" ht="15.5" x14ac:dyDescent="0.35">
      <c r="B1" s="2"/>
      <c r="C1" s="3" t="s">
        <v>254</v>
      </c>
      <c r="I1"/>
    </row>
    <row r="2" spans="2:9" x14ac:dyDescent="0.35">
      <c r="B2" s="2"/>
      <c r="H2" s="1"/>
      <c r="I2" s="1"/>
    </row>
    <row r="3" spans="2:9" x14ac:dyDescent="0.35">
      <c r="B3" s="2"/>
      <c r="H3" s="1"/>
      <c r="I3" s="1"/>
    </row>
    <row r="4" spans="2:9" ht="12" customHeight="1" x14ac:dyDescent="0.25">
      <c r="B4" s="2" t="s">
        <v>99</v>
      </c>
      <c r="C4" s="4" t="s">
        <v>204</v>
      </c>
      <c r="D4" s="4" t="s">
        <v>30</v>
      </c>
      <c r="E4" s="4" t="s">
        <v>96</v>
      </c>
      <c r="F4" s="4" t="s">
        <v>97</v>
      </c>
      <c r="G4" s="4" t="s">
        <v>98</v>
      </c>
    </row>
    <row r="5" spans="2:9" ht="12" customHeight="1" x14ac:dyDescent="0.25">
      <c r="B5" s="2" t="s">
        <v>101</v>
      </c>
      <c r="C5" s="4" t="s">
        <v>62</v>
      </c>
      <c r="D5" s="4">
        <v>111111</v>
      </c>
      <c r="E5" s="4" t="s">
        <v>207</v>
      </c>
      <c r="F5" s="20">
        <v>-14500341</v>
      </c>
      <c r="G5" s="4">
        <v>2001110000</v>
      </c>
    </row>
    <row r="6" spans="2:9" ht="12" customHeight="1" x14ac:dyDescent="0.25">
      <c r="B6" s="2" t="s">
        <v>102</v>
      </c>
      <c r="C6" s="4" t="s">
        <v>63</v>
      </c>
      <c r="D6" s="4">
        <v>111111</v>
      </c>
      <c r="E6" s="4" t="s">
        <v>207</v>
      </c>
      <c r="F6" s="20">
        <v>-4794856.1919999998</v>
      </c>
      <c r="G6" s="4">
        <v>2001190000</v>
      </c>
    </row>
    <row r="7" spans="2:9" ht="12" customHeight="1" x14ac:dyDescent="0.25">
      <c r="B7" s="2" t="s">
        <v>103</v>
      </c>
      <c r="C7" s="4" t="s">
        <v>64</v>
      </c>
      <c r="D7" s="4">
        <v>1009</v>
      </c>
      <c r="E7" s="4" t="s">
        <v>34</v>
      </c>
      <c r="F7" s="20">
        <v>-154890.4</v>
      </c>
      <c r="G7" s="4">
        <v>2020000000</v>
      </c>
    </row>
    <row r="8" spans="2:9" ht="12" customHeight="1" x14ac:dyDescent="0.25">
      <c r="B8" s="2" t="s">
        <v>104</v>
      </c>
      <c r="C8" s="4" t="s">
        <v>64</v>
      </c>
      <c r="D8" s="4">
        <v>1007</v>
      </c>
      <c r="E8" s="4" t="s">
        <v>36</v>
      </c>
      <c r="F8" s="20">
        <v>-1180894.0520000001</v>
      </c>
      <c r="G8" s="4">
        <v>2020000000</v>
      </c>
    </row>
    <row r="9" spans="2:9" ht="12" customHeight="1" x14ac:dyDescent="0.25">
      <c r="B9" s="2" t="s">
        <v>105</v>
      </c>
      <c r="C9" s="4" t="s">
        <v>64</v>
      </c>
      <c r="D9" s="4">
        <v>1008</v>
      </c>
      <c r="E9" s="4" t="s">
        <v>38</v>
      </c>
      <c r="F9" s="20">
        <v>-793079.51199999999</v>
      </c>
      <c r="G9" s="4">
        <v>2020000000</v>
      </c>
    </row>
    <row r="10" spans="2:9" ht="12" customHeight="1" x14ac:dyDescent="0.25">
      <c r="B10" s="2" t="s">
        <v>106</v>
      </c>
      <c r="C10" s="4" t="s">
        <v>64</v>
      </c>
      <c r="D10" s="4">
        <v>111101</v>
      </c>
      <c r="E10" s="4" t="s">
        <v>0</v>
      </c>
      <c r="F10" s="20">
        <v>-2277197.6</v>
      </c>
      <c r="G10" s="4">
        <v>2020000000</v>
      </c>
    </row>
    <row r="11" spans="2:9" ht="12" customHeight="1" x14ac:dyDescent="0.25">
      <c r="B11" s="2" t="s">
        <v>107</v>
      </c>
      <c r="C11" s="4" t="s">
        <v>224</v>
      </c>
      <c r="D11" s="4">
        <v>111111</v>
      </c>
      <c r="E11" s="4" t="s">
        <v>207</v>
      </c>
      <c r="F11" s="20">
        <v>4428911.7640000004</v>
      </c>
      <c r="G11" s="4">
        <v>2021900000</v>
      </c>
    </row>
    <row r="12" spans="2:9" ht="12" customHeight="1" x14ac:dyDescent="0.25">
      <c r="B12" s="2" t="s">
        <v>108</v>
      </c>
      <c r="C12" s="4" t="s">
        <v>66</v>
      </c>
      <c r="D12" s="4">
        <v>111111</v>
      </c>
      <c r="E12" s="4" t="s">
        <v>207</v>
      </c>
      <c r="F12" s="20">
        <v>16977.628000000001</v>
      </c>
      <c r="G12" s="4">
        <v>2024080000</v>
      </c>
    </row>
    <row r="13" spans="2:9" ht="12" customHeight="1" x14ac:dyDescent="0.25">
      <c r="B13" s="2" t="s">
        <v>109</v>
      </c>
      <c r="C13" s="4" t="s">
        <v>65</v>
      </c>
      <c r="D13" s="4">
        <v>88</v>
      </c>
      <c r="E13" s="4" t="s">
        <v>31</v>
      </c>
      <c r="F13" s="20">
        <v>2245437.54</v>
      </c>
      <c r="G13" s="4">
        <v>2024090000</v>
      </c>
    </row>
    <row r="14" spans="2:9" ht="12" customHeight="1" x14ac:dyDescent="0.25">
      <c r="B14" s="2" t="s">
        <v>110</v>
      </c>
      <c r="C14" s="4" t="s">
        <v>65</v>
      </c>
      <c r="D14" s="4">
        <v>111111</v>
      </c>
      <c r="E14" s="4" t="s">
        <v>207</v>
      </c>
      <c r="F14" s="20">
        <v>16605.634000000002</v>
      </c>
      <c r="G14" s="4">
        <v>2024090000</v>
      </c>
    </row>
    <row r="15" spans="2:9" ht="12" customHeight="1" x14ac:dyDescent="0.25">
      <c r="B15" s="2" t="s">
        <v>111</v>
      </c>
      <c r="C15" s="4" t="s">
        <v>1</v>
      </c>
      <c r="D15" s="4">
        <v>111111</v>
      </c>
      <c r="E15" s="4" t="s">
        <v>207</v>
      </c>
      <c r="F15" s="20">
        <v>4683394.0460000001</v>
      </c>
      <c r="G15" s="4">
        <v>2041000000</v>
      </c>
    </row>
    <row r="16" spans="2:9" ht="12" customHeight="1" x14ac:dyDescent="0.25">
      <c r="B16" s="2" t="s">
        <v>112</v>
      </c>
      <c r="C16" s="4" t="s">
        <v>67</v>
      </c>
      <c r="D16" s="4">
        <v>111101</v>
      </c>
      <c r="E16" s="4" t="s">
        <v>0</v>
      </c>
      <c r="F16" s="20">
        <v>1143051.5760000001</v>
      </c>
      <c r="G16" s="4">
        <v>2042000000</v>
      </c>
    </row>
    <row r="17" spans="2:7" ht="12" customHeight="1" x14ac:dyDescent="0.25">
      <c r="B17" s="2" t="s">
        <v>212</v>
      </c>
      <c r="C17" s="4" t="s">
        <v>67</v>
      </c>
      <c r="D17" s="4">
        <v>88</v>
      </c>
      <c r="E17" s="4" t="s">
        <v>31</v>
      </c>
      <c r="F17" s="20">
        <v>239379.61800000002</v>
      </c>
      <c r="G17" s="4">
        <v>2042000000</v>
      </c>
    </row>
    <row r="18" spans="2:7" ht="12" customHeight="1" x14ac:dyDescent="0.25">
      <c r="B18" s="2" t="s">
        <v>113</v>
      </c>
      <c r="C18" s="4" t="s">
        <v>68</v>
      </c>
      <c r="D18" s="4">
        <v>111101</v>
      </c>
      <c r="E18" s="4" t="s">
        <v>0</v>
      </c>
      <c r="F18" s="20">
        <v>104913.8</v>
      </c>
      <c r="G18" s="4">
        <v>2045000000</v>
      </c>
    </row>
    <row r="19" spans="2:7" ht="12" customHeight="1" x14ac:dyDescent="0.25">
      <c r="B19" s="2" t="s">
        <v>114</v>
      </c>
      <c r="C19" s="4" t="s">
        <v>69</v>
      </c>
      <c r="D19" s="4">
        <v>111101</v>
      </c>
      <c r="E19" s="4" t="s">
        <v>0</v>
      </c>
      <c r="F19" s="20">
        <v>2003262.2180000001</v>
      </c>
      <c r="G19" s="4">
        <v>2051210000</v>
      </c>
    </row>
    <row r="20" spans="2:7" ht="12" customHeight="1" x14ac:dyDescent="0.25">
      <c r="B20" s="2" t="s">
        <v>115</v>
      </c>
      <c r="C20" s="4" t="s">
        <v>69</v>
      </c>
      <c r="D20" s="4">
        <v>111101</v>
      </c>
      <c r="E20" s="4" t="s">
        <v>0</v>
      </c>
      <c r="F20" s="20">
        <v>41981.296000000002</v>
      </c>
      <c r="G20" s="4">
        <v>2051260000</v>
      </c>
    </row>
    <row r="21" spans="2:7" ht="12" customHeight="1" x14ac:dyDescent="0.25">
      <c r="B21" s="2" t="s">
        <v>116</v>
      </c>
      <c r="C21" s="4" t="s">
        <v>70</v>
      </c>
      <c r="D21" s="4" t="s">
        <v>3</v>
      </c>
      <c r="E21" s="4" t="s">
        <v>39</v>
      </c>
      <c r="F21" s="20">
        <v>-2156147.4</v>
      </c>
      <c r="G21" s="4">
        <v>2069010000</v>
      </c>
    </row>
    <row r="22" spans="2:7" ht="12" customHeight="1" x14ac:dyDescent="0.25">
      <c r="B22" s="2" t="s">
        <v>117</v>
      </c>
      <c r="C22" s="4" t="s">
        <v>70</v>
      </c>
      <c r="D22" s="4">
        <v>14</v>
      </c>
      <c r="E22" s="4" t="s">
        <v>40</v>
      </c>
      <c r="F22" s="20">
        <v>-291428.55199999997</v>
      </c>
      <c r="G22" s="4">
        <v>2069010000</v>
      </c>
    </row>
    <row r="23" spans="2:7" ht="12" customHeight="1" x14ac:dyDescent="0.25">
      <c r="B23" s="2" t="s">
        <v>118</v>
      </c>
      <c r="C23" s="4" t="s">
        <v>70</v>
      </c>
      <c r="D23" s="4">
        <v>1037</v>
      </c>
      <c r="E23" s="4" t="s">
        <v>45</v>
      </c>
      <c r="F23" s="20">
        <v>0</v>
      </c>
      <c r="G23" s="4">
        <v>2069010000</v>
      </c>
    </row>
    <row r="24" spans="2:7" ht="12" customHeight="1" x14ac:dyDescent="0.25">
      <c r="B24" s="2" t="s">
        <v>119</v>
      </c>
      <c r="C24" s="4" t="s">
        <v>70</v>
      </c>
      <c r="D24" s="4" t="s">
        <v>4</v>
      </c>
      <c r="E24" s="4" t="s">
        <v>44</v>
      </c>
      <c r="F24" s="20">
        <v>-33736.5</v>
      </c>
      <c r="G24" s="4">
        <v>2069010000</v>
      </c>
    </row>
    <row r="25" spans="2:7" ht="12" customHeight="1" x14ac:dyDescent="0.25">
      <c r="B25" s="2" t="s">
        <v>120</v>
      </c>
      <c r="C25" s="4" t="s">
        <v>70</v>
      </c>
      <c r="D25" s="4">
        <v>1009</v>
      </c>
      <c r="E25" s="4" t="s">
        <v>34</v>
      </c>
      <c r="F25" s="20">
        <v>0</v>
      </c>
      <c r="G25" s="4">
        <v>2069010000</v>
      </c>
    </row>
    <row r="26" spans="2:7" ht="12" customHeight="1" x14ac:dyDescent="0.25">
      <c r="B26" s="2" t="s">
        <v>121</v>
      </c>
      <c r="C26" s="4" t="s">
        <v>70</v>
      </c>
      <c r="D26" s="4">
        <v>1007</v>
      </c>
      <c r="E26" s="4" t="s">
        <v>36</v>
      </c>
      <c r="F26" s="20">
        <v>0</v>
      </c>
      <c r="G26" s="4">
        <v>2069010000</v>
      </c>
    </row>
    <row r="27" spans="2:7" ht="12" customHeight="1" x14ac:dyDescent="0.25">
      <c r="B27" s="2" t="s">
        <v>122</v>
      </c>
      <c r="C27" s="4" t="s">
        <v>70</v>
      </c>
      <c r="D27" s="4">
        <v>1008</v>
      </c>
      <c r="E27" s="4" t="s">
        <v>38</v>
      </c>
      <c r="F27" s="20">
        <v>0</v>
      </c>
      <c r="G27" s="4">
        <v>2069010000</v>
      </c>
    </row>
    <row r="28" spans="2:7" ht="12" customHeight="1" x14ac:dyDescent="0.25">
      <c r="B28" s="2" t="s">
        <v>123</v>
      </c>
      <c r="C28" s="4" t="s">
        <v>70</v>
      </c>
      <c r="D28" s="4">
        <v>1240</v>
      </c>
      <c r="E28" s="4" t="s">
        <v>43</v>
      </c>
      <c r="F28" s="20">
        <v>-199600.4</v>
      </c>
      <c r="G28" s="4">
        <v>2069010000</v>
      </c>
    </row>
    <row r="29" spans="2:7" ht="12" customHeight="1" x14ac:dyDescent="0.25">
      <c r="B29" s="2" t="s">
        <v>124</v>
      </c>
      <c r="C29" s="4" t="s">
        <v>70</v>
      </c>
      <c r="D29" s="4">
        <v>111111</v>
      </c>
      <c r="E29" s="4" t="s">
        <v>207</v>
      </c>
      <c r="F29" s="20">
        <v>-539141.4</v>
      </c>
      <c r="G29" s="4">
        <v>2069010000</v>
      </c>
    </row>
    <row r="30" spans="2:7" ht="12" customHeight="1" x14ac:dyDescent="0.25">
      <c r="B30" s="2" t="s">
        <v>125</v>
      </c>
      <c r="C30" s="4" t="s">
        <v>71</v>
      </c>
      <c r="D30" s="4">
        <v>111111</v>
      </c>
      <c r="E30" s="4" t="s">
        <v>207</v>
      </c>
      <c r="F30" s="20">
        <v>-57.221999999999994</v>
      </c>
      <c r="G30" s="4">
        <v>2069980000</v>
      </c>
    </row>
    <row r="31" spans="2:7" ht="12" customHeight="1" x14ac:dyDescent="0.25">
      <c r="B31" s="2" t="s">
        <v>126</v>
      </c>
      <c r="C31" s="4" t="s">
        <v>72</v>
      </c>
      <c r="D31" s="4">
        <v>111111</v>
      </c>
      <c r="E31" s="4" t="s">
        <v>207</v>
      </c>
      <c r="F31" s="20">
        <v>22314.879999999997</v>
      </c>
      <c r="G31" s="4">
        <v>2070400000</v>
      </c>
    </row>
    <row r="32" spans="2:7" ht="12" customHeight="1" x14ac:dyDescent="0.25">
      <c r="B32" s="2" t="s">
        <v>127</v>
      </c>
      <c r="C32" s="4" t="s">
        <v>73</v>
      </c>
      <c r="D32" s="4">
        <v>88</v>
      </c>
      <c r="E32" s="4" t="s">
        <v>31</v>
      </c>
      <c r="F32" s="20">
        <v>204000</v>
      </c>
      <c r="G32" s="4">
        <v>2070500000</v>
      </c>
    </row>
    <row r="33" spans="2:7" ht="12" customHeight="1" x14ac:dyDescent="0.25">
      <c r="B33" s="2" t="s">
        <v>128</v>
      </c>
      <c r="C33" s="4" t="s">
        <v>73</v>
      </c>
      <c r="D33" s="4">
        <v>111111</v>
      </c>
      <c r="E33" s="4" t="s">
        <v>207</v>
      </c>
      <c r="F33" s="20">
        <v>138.41399999999999</v>
      </c>
      <c r="G33" s="4">
        <v>2070500000</v>
      </c>
    </row>
    <row r="34" spans="2:7" ht="12" customHeight="1" x14ac:dyDescent="0.25">
      <c r="B34" s="2" t="s">
        <v>129</v>
      </c>
      <c r="C34" s="4" t="s">
        <v>74</v>
      </c>
      <c r="D34" s="4">
        <v>111111</v>
      </c>
      <c r="E34" s="4" t="s">
        <v>207</v>
      </c>
      <c r="F34" s="20">
        <v>1127445.872</v>
      </c>
      <c r="G34" s="4">
        <v>2070600000</v>
      </c>
    </row>
    <row r="35" spans="2:7" ht="12" customHeight="1" x14ac:dyDescent="0.25">
      <c r="B35" s="2" t="s">
        <v>130</v>
      </c>
      <c r="C35" s="4" t="s">
        <v>75</v>
      </c>
      <c r="D35" s="4" t="s">
        <v>5</v>
      </c>
      <c r="E35" s="4" t="s">
        <v>41</v>
      </c>
      <c r="F35" s="20">
        <v>133722</v>
      </c>
      <c r="G35" s="4">
        <v>2070900000</v>
      </c>
    </row>
    <row r="36" spans="2:7" ht="12" customHeight="1" x14ac:dyDescent="0.25">
      <c r="B36" s="2" t="s">
        <v>131</v>
      </c>
      <c r="C36" s="4" t="s">
        <v>75</v>
      </c>
      <c r="D36" s="4" t="s">
        <v>6</v>
      </c>
      <c r="E36" s="4" t="s">
        <v>42</v>
      </c>
      <c r="F36" s="20">
        <v>328061.886</v>
      </c>
      <c r="G36" s="4">
        <v>2070900000</v>
      </c>
    </row>
    <row r="37" spans="2:7" ht="12" customHeight="1" x14ac:dyDescent="0.25">
      <c r="B37" s="2" t="s">
        <v>132</v>
      </c>
      <c r="C37" s="4" t="s">
        <v>75</v>
      </c>
      <c r="D37" s="4">
        <v>111111</v>
      </c>
      <c r="E37" s="4" t="s">
        <v>207</v>
      </c>
      <c r="F37" s="20">
        <v>2081304.3219999997</v>
      </c>
      <c r="G37" s="4">
        <v>2070900000</v>
      </c>
    </row>
    <row r="38" spans="2:7" ht="12" customHeight="1" x14ac:dyDescent="0.25">
      <c r="B38" s="2" t="s">
        <v>133</v>
      </c>
      <c r="C38" s="4" t="s">
        <v>7</v>
      </c>
      <c r="D38" s="4">
        <v>111111</v>
      </c>
      <c r="E38" s="4" t="s">
        <v>207</v>
      </c>
      <c r="F38" s="20">
        <v>33410.031999999999</v>
      </c>
      <c r="G38" s="4">
        <v>2071000000</v>
      </c>
    </row>
    <row r="39" spans="2:7" ht="12" customHeight="1" x14ac:dyDescent="0.25">
      <c r="B39" s="2" t="s">
        <v>134</v>
      </c>
      <c r="C39" s="4" t="s">
        <v>76</v>
      </c>
      <c r="D39" s="4">
        <v>111111</v>
      </c>
      <c r="E39" s="4" t="s">
        <v>207</v>
      </c>
      <c r="F39" s="20">
        <v>213090.85199999998</v>
      </c>
      <c r="G39" s="4">
        <v>2071100000</v>
      </c>
    </row>
    <row r="40" spans="2:7" ht="12" customHeight="1" x14ac:dyDescent="0.25">
      <c r="B40" s="2" t="s">
        <v>135</v>
      </c>
      <c r="C40" s="4" t="s">
        <v>8</v>
      </c>
      <c r="D40" s="4">
        <v>111111</v>
      </c>
      <c r="E40" s="4" t="s">
        <v>207</v>
      </c>
      <c r="F40" s="20">
        <v>1813525.004</v>
      </c>
      <c r="G40" s="4">
        <v>2071209200</v>
      </c>
    </row>
    <row r="41" spans="2:7" ht="12" customHeight="1" x14ac:dyDescent="0.25">
      <c r="B41" s="2" t="s">
        <v>136</v>
      </c>
      <c r="C41" s="4" t="s">
        <v>77</v>
      </c>
      <c r="D41" s="4">
        <v>111111</v>
      </c>
      <c r="E41" s="4" t="s">
        <v>207</v>
      </c>
      <c r="F41" s="20">
        <v>5552.2</v>
      </c>
      <c r="G41" s="4">
        <v>2071209400</v>
      </c>
    </row>
    <row r="42" spans="2:7" ht="12" customHeight="1" x14ac:dyDescent="0.25">
      <c r="B42" s="2" t="s">
        <v>137</v>
      </c>
      <c r="C42" s="4" t="s">
        <v>78</v>
      </c>
      <c r="D42" s="4">
        <v>111111</v>
      </c>
      <c r="E42" s="4" t="s">
        <v>207</v>
      </c>
      <c r="F42" s="20">
        <v>43868.975999999995</v>
      </c>
      <c r="G42" s="4">
        <v>2071209500</v>
      </c>
    </row>
    <row r="43" spans="2:7" ht="12" customHeight="1" x14ac:dyDescent="0.25">
      <c r="B43" s="2" t="s">
        <v>138</v>
      </c>
      <c r="C43" s="4" t="s">
        <v>79</v>
      </c>
      <c r="D43" s="4">
        <v>111101</v>
      </c>
      <c r="E43" s="4" t="s">
        <v>0</v>
      </c>
      <c r="F43" s="20">
        <v>10934.671999999999</v>
      </c>
      <c r="G43" s="4">
        <v>2071980000</v>
      </c>
    </row>
    <row r="44" spans="2:7" ht="12" customHeight="1" x14ac:dyDescent="0.25">
      <c r="B44" s="2" t="s">
        <v>139</v>
      </c>
      <c r="C44" s="4" t="s">
        <v>80</v>
      </c>
      <c r="D44" s="4">
        <v>111111</v>
      </c>
      <c r="E44" s="4" t="s">
        <v>207</v>
      </c>
      <c r="F44" s="20">
        <v>20400</v>
      </c>
      <c r="G44" s="4">
        <v>2079022000</v>
      </c>
    </row>
    <row r="45" spans="2:7" ht="12" customHeight="1" x14ac:dyDescent="0.25">
      <c r="B45" s="2" t="s">
        <v>140</v>
      </c>
      <c r="C45" s="4" t="s">
        <v>81</v>
      </c>
      <c r="D45" s="4">
        <v>105</v>
      </c>
      <c r="E45" s="4" t="s">
        <v>32</v>
      </c>
      <c r="F45" s="20">
        <v>0</v>
      </c>
      <c r="G45" s="4">
        <v>2079070000</v>
      </c>
    </row>
    <row r="46" spans="2:7" ht="12" customHeight="1" x14ac:dyDescent="0.25">
      <c r="B46" s="2" t="s">
        <v>141</v>
      </c>
      <c r="C46" s="4" t="s">
        <v>81</v>
      </c>
      <c r="D46" s="4">
        <v>111111</v>
      </c>
      <c r="E46" s="4" t="s">
        <v>207</v>
      </c>
      <c r="F46" s="20">
        <v>563918.152</v>
      </c>
      <c r="G46" s="4">
        <v>2079070000</v>
      </c>
    </row>
    <row r="47" spans="2:7" ht="12" customHeight="1" x14ac:dyDescent="0.25">
      <c r="B47" s="2" t="s">
        <v>142</v>
      </c>
      <c r="C47" s="4" t="s">
        <v>82</v>
      </c>
      <c r="D47" s="4">
        <v>1009</v>
      </c>
      <c r="E47" s="4" t="s">
        <v>34</v>
      </c>
      <c r="F47" s="20">
        <v>0</v>
      </c>
      <c r="G47" s="4">
        <v>2079080000</v>
      </c>
    </row>
    <row r="48" spans="2:7" ht="12" customHeight="1" x14ac:dyDescent="0.25">
      <c r="B48" s="2" t="s">
        <v>143</v>
      </c>
      <c r="C48" s="4" t="s">
        <v>82</v>
      </c>
      <c r="D48" s="4">
        <v>1007</v>
      </c>
      <c r="E48" s="4" t="s">
        <v>36</v>
      </c>
      <c r="F48" s="20">
        <v>0</v>
      </c>
      <c r="G48" s="4">
        <v>2079080000</v>
      </c>
    </row>
    <row r="49" spans="2:7" ht="12" customHeight="1" x14ac:dyDescent="0.25">
      <c r="B49" s="2" t="s">
        <v>144</v>
      </c>
      <c r="C49" s="4" t="s">
        <v>82</v>
      </c>
      <c r="D49" s="4">
        <v>1008</v>
      </c>
      <c r="E49" s="4" t="s">
        <v>38</v>
      </c>
      <c r="F49" s="20">
        <v>0</v>
      </c>
      <c r="G49" s="4">
        <v>2079080000</v>
      </c>
    </row>
    <row r="50" spans="2:7" ht="12" customHeight="1" x14ac:dyDescent="0.25">
      <c r="B50" s="2" t="s">
        <v>145</v>
      </c>
      <c r="C50" s="4" t="s">
        <v>83</v>
      </c>
      <c r="D50" s="4">
        <v>1009</v>
      </c>
      <c r="E50" s="4" t="s">
        <v>34</v>
      </c>
      <c r="F50" s="20">
        <v>0</v>
      </c>
      <c r="G50" s="4">
        <v>2082280000</v>
      </c>
    </row>
    <row r="51" spans="2:7" ht="12" customHeight="1" x14ac:dyDescent="0.25">
      <c r="B51" s="2" t="s">
        <v>146</v>
      </c>
      <c r="C51" s="4" t="s">
        <v>83</v>
      </c>
      <c r="D51" s="4">
        <v>1007</v>
      </c>
      <c r="E51" s="4" t="s">
        <v>36</v>
      </c>
      <c r="F51" s="20">
        <v>0</v>
      </c>
      <c r="G51" s="4">
        <v>2082280000</v>
      </c>
    </row>
    <row r="52" spans="2:7" ht="12" customHeight="1" x14ac:dyDescent="0.25">
      <c r="B52" s="2" t="s">
        <v>147</v>
      </c>
      <c r="C52" s="4" t="s">
        <v>83</v>
      </c>
      <c r="D52" s="4">
        <v>1008</v>
      </c>
      <c r="E52" s="4" t="s">
        <v>38</v>
      </c>
      <c r="F52" s="20">
        <v>0</v>
      </c>
      <c r="G52" s="4">
        <v>2082280000</v>
      </c>
    </row>
    <row r="53" spans="2:7" ht="12" customHeight="1" x14ac:dyDescent="0.25">
      <c r="B53" s="2" t="s">
        <v>148</v>
      </c>
      <c r="C53" s="4" t="s">
        <v>83</v>
      </c>
      <c r="D53" s="4">
        <v>1240</v>
      </c>
      <c r="E53" s="4" t="s">
        <v>43</v>
      </c>
      <c r="F53" s="20">
        <v>-35810.228000000003</v>
      </c>
      <c r="G53" s="4">
        <v>2082280000</v>
      </c>
    </row>
    <row r="54" spans="2:7" ht="12" customHeight="1" x14ac:dyDescent="0.25">
      <c r="B54" s="2" t="s">
        <v>149</v>
      </c>
      <c r="C54" s="4" t="s">
        <v>83</v>
      </c>
      <c r="D54" s="4">
        <v>111111</v>
      </c>
      <c r="E54" s="4" t="s">
        <v>207</v>
      </c>
      <c r="F54" s="20">
        <v>-51927.417999999998</v>
      </c>
      <c r="G54" s="4">
        <v>2082280000</v>
      </c>
    </row>
    <row r="55" spans="2:7" ht="12" customHeight="1" x14ac:dyDescent="0.25">
      <c r="B55" s="2" t="s">
        <v>150</v>
      </c>
      <c r="C55" s="4" t="s">
        <v>9</v>
      </c>
      <c r="D55" s="4">
        <v>111101</v>
      </c>
      <c r="E55" s="4" t="s">
        <v>0</v>
      </c>
      <c r="F55" s="20">
        <v>-862270.63399999996</v>
      </c>
      <c r="G55" s="4">
        <v>2082202000</v>
      </c>
    </row>
    <row r="56" spans="2:7" ht="12" customHeight="1" x14ac:dyDescent="0.25">
      <c r="B56" s="2" t="s">
        <v>151</v>
      </c>
      <c r="C56" s="4" t="s">
        <v>84</v>
      </c>
      <c r="D56" s="4">
        <v>111101</v>
      </c>
      <c r="E56" s="4" t="s">
        <v>0</v>
      </c>
      <c r="F56" s="20">
        <v>22763</v>
      </c>
      <c r="G56" s="4">
        <v>2082208200</v>
      </c>
    </row>
    <row r="57" spans="2:7" ht="12" customHeight="1" x14ac:dyDescent="0.25">
      <c r="B57" s="2" t="s">
        <v>152</v>
      </c>
      <c r="C57" s="4" t="s">
        <v>85</v>
      </c>
      <c r="D57" s="4">
        <v>88</v>
      </c>
      <c r="E57" s="4" t="s">
        <v>31</v>
      </c>
      <c r="F57" s="20">
        <v>2930430.0120000001</v>
      </c>
      <c r="G57" s="4">
        <v>2082214000</v>
      </c>
    </row>
    <row r="58" spans="2:7" ht="12" customHeight="1" x14ac:dyDescent="0.25">
      <c r="B58" s="2" t="s">
        <v>153</v>
      </c>
      <c r="C58" s="4" t="s">
        <v>86</v>
      </c>
      <c r="D58" s="4">
        <v>111101</v>
      </c>
      <c r="E58" s="4" t="s">
        <v>0</v>
      </c>
      <c r="F58" s="20">
        <v>-49378.641999999993</v>
      </c>
      <c r="G58" s="4">
        <v>2091200000</v>
      </c>
    </row>
    <row r="59" spans="2:7" ht="12" customHeight="1" x14ac:dyDescent="0.25">
      <c r="B59" s="2" t="s">
        <v>154</v>
      </c>
      <c r="C59" s="4" t="s">
        <v>87</v>
      </c>
      <c r="D59" s="4">
        <v>111101</v>
      </c>
      <c r="E59" s="4" t="s">
        <v>0</v>
      </c>
      <c r="F59" s="20">
        <v>516250.67</v>
      </c>
      <c r="G59" s="4">
        <v>2091200001</v>
      </c>
    </row>
    <row r="60" spans="2:7" ht="12" customHeight="1" x14ac:dyDescent="0.25">
      <c r="B60" s="2" t="s">
        <v>155</v>
      </c>
      <c r="C60" s="4" t="s">
        <v>88</v>
      </c>
      <c r="D60" s="4">
        <v>111101</v>
      </c>
      <c r="E60" s="4" t="s">
        <v>0</v>
      </c>
      <c r="F60" s="20">
        <v>21593.093999999997</v>
      </c>
      <c r="G60" s="4">
        <v>2092200000</v>
      </c>
    </row>
    <row r="61" spans="2:7" ht="12" customHeight="1" x14ac:dyDescent="0.25">
      <c r="B61" s="2" t="s">
        <v>156</v>
      </c>
      <c r="C61" s="19" t="s">
        <v>61</v>
      </c>
      <c r="D61" s="19">
        <v>111101</v>
      </c>
      <c r="E61" s="19" t="s">
        <v>0</v>
      </c>
      <c r="F61" s="21">
        <f>SUM(F5:F60)</f>
        <v>-2904117.9939999986</v>
      </c>
      <c r="G61" s="19">
        <v>2999999999</v>
      </c>
    </row>
    <row r="62" spans="2:7" ht="11.5" x14ac:dyDescent="0.25">
      <c r="B62" s="2" t="s">
        <v>100</v>
      </c>
    </row>
    <row r="1048568" spans="2:9" x14ac:dyDescent="0.35">
      <c r="B1048568" s="2"/>
      <c r="I1048568" s="1"/>
    </row>
    <row r="1048569" spans="2:9" x14ac:dyDescent="0.35">
      <c r="B1048569" s="2"/>
      <c r="I1048569" s="1"/>
    </row>
    <row r="1048570" spans="2:9" x14ac:dyDescent="0.35">
      <c r="B1048570" s="2"/>
      <c r="I1048570" s="1"/>
    </row>
    <row r="1048571" spans="2:9" x14ac:dyDescent="0.35">
      <c r="B1048571" s="2"/>
      <c r="I1048571" s="1"/>
    </row>
    <row r="1048572" spans="2:9" x14ac:dyDescent="0.35">
      <c r="B1048572" s="2"/>
      <c r="I1048572" s="1"/>
    </row>
    <row r="1048573" spans="2:9" x14ac:dyDescent="0.35">
      <c r="B1048573" s="2"/>
      <c r="I1048573" s="1"/>
    </row>
    <row r="1048574" spans="2:9" x14ac:dyDescent="0.35">
      <c r="B1048574" s="2"/>
      <c r="I1048574" s="1"/>
    </row>
    <row r="1048575" spans="2:9" x14ac:dyDescent="0.35">
      <c r="B1048575" s="2"/>
      <c r="I1048575" s="1"/>
    </row>
    <row r="1048576" spans="2:9" x14ac:dyDescent="0.3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C1" sqref="C1"/>
    </sheetView>
  </sheetViews>
  <sheetFormatPr defaultColWidth="9.08984375" defaultRowHeight="11.5" x14ac:dyDescent="0.25"/>
  <cols>
    <col min="1" max="1" width="2" style="2" customWidth="1"/>
    <col min="2" max="3" width="17.36328125" style="2" bestFit="1" customWidth="1"/>
    <col min="4" max="4" width="27.36328125" style="2" customWidth="1"/>
    <col min="5" max="5" width="21.08984375" style="2" bestFit="1" customWidth="1"/>
    <col min="6" max="6" width="17.08984375" style="2" customWidth="1"/>
    <col min="7" max="7" width="15.54296875" style="2" customWidth="1"/>
    <col min="8" max="8" width="17.36328125" style="2" bestFit="1" customWidth="1"/>
    <col min="9" max="16384" width="9.08984375" style="2"/>
  </cols>
  <sheetData>
    <row r="1" spans="2:7" ht="15.5" x14ac:dyDescent="0.35">
      <c r="B1" s="3" t="s">
        <v>253</v>
      </c>
    </row>
    <row r="4" spans="2:7" x14ac:dyDescent="0.25">
      <c r="B4" s="2" t="s">
        <v>99</v>
      </c>
      <c r="C4" s="4" t="s">
        <v>204</v>
      </c>
      <c r="D4" s="4" t="s">
        <v>30</v>
      </c>
      <c r="E4" s="4" t="s">
        <v>205</v>
      </c>
      <c r="F4" s="22" t="s">
        <v>206</v>
      </c>
      <c r="G4" s="4" t="s">
        <v>98</v>
      </c>
    </row>
    <row r="5" spans="2:7" x14ac:dyDescent="0.25">
      <c r="B5" s="2" t="s">
        <v>157</v>
      </c>
      <c r="C5" s="4" t="s">
        <v>62</v>
      </c>
      <c r="D5" s="4">
        <v>105</v>
      </c>
      <c r="E5" s="4" t="s">
        <v>32</v>
      </c>
      <c r="F5" s="20">
        <v>-355396.61499999999</v>
      </c>
      <c r="G5" s="4">
        <v>2001110000</v>
      </c>
    </row>
    <row r="6" spans="2:7" x14ac:dyDescent="0.25">
      <c r="B6" s="2" t="s">
        <v>101</v>
      </c>
      <c r="C6" s="4" t="s">
        <v>62</v>
      </c>
      <c r="D6" s="4">
        <v>111111</v>
      </c>
      <c r="E6" s="4" t="s">
        <v>207</v>
      </c>
      <c r="F6" s="20">
        <v>-15792898.75</v>
      </c>
      <c r="G6" s="4">
        <v>2001110000</v>
      </c>
    </row>
    <row r="7" spans="2:7" ht="12" customHeight="1" x14ac:dyDescent="0.25">
      <c r="B7" s="2" t="s">
        <v>102</v>
      </c>
      <c r="C7" s="4" t="s">
        <v>63</v>
      </c>
      <c r="D7" s="4">
        <v>111111</v>
      </c>
      <c r="E7" s="4" t="s">
        <v>207</v>
      </c>
      <c r="F7" s="20">
        <v>-6960217.6449999996</v>
      </c>
      <c r="G7" s="4">
        <v>2001190000</v>
      </c>
    </row>
    <row r="8" spans="2:7" x14ac:dyDescent="0.25">
      <c r="B8" s="2" t="s">
        <v>158</v>
      </c>
      <c r="C8" s="4" t="s">
        <v>64</v>
      </c>
      <c r="D8" s="4" t="s">
        <v>10</v>
      </c>
      <c r="E8" s="4" t="s">
        <v>46</v>
      </c>
      <c r="F8" s="20">
        <v>-420017.14999999997</v>
      </c>
      <c r="G8" s="4">
        <v>2020000000</v>
      </c>
    </row>
    <row r="9" spans="2:7" x14ac:dyDescent="0.25">
      <c r="B9" s="2" t="s">
        <v>104</v>
      </c>
      <c r="C9" s="4" t="s">
        <v>64</v>
      </c>
      <c r="D9" s="4">
        <v>1007</v>
      </c>
      <c r="E9" s="4" t="s">
        <v>36</v>
      </c>
      <c r="F9" s="20">
        <v>-89234.880000000005</v>
      </c>
      <c r="G9" s="4">
        <v>2020000000</v>
      </c>
    </row>
    <row r="10" spans="2:7" x14ac:dyDescent="0.25">
      <c r="B10" s="2" t="s">
        <v>105</v>
      </c>
      <c r="C10" s="4" t="s">
        <v>64</v>
      </c>
      <c r="D10" s="4">
        <v>1008</v>
      </c>
      <c r="E10" s="4" t="s">
        <v>38</v>
      </c>
      <c r="F10" s="20">
        <v>-26173</v>
      </c>
      <c r="G10" s="4">
        <v>2020000000</v>
      </c>
    </row>
    <row r="11" spans="2:7" x14ac:dyDescent="0.25">
      <c r="B11" s="2" t="s">
        <v>106</v>
      </c>
      <c r="C11" s="4" t="s">
        <v>64</v>
      </c>
      <c r="D11" s="4">
        <v>111101</v>
      </c>
      <c r="E11" s="4" t="s">
        <v>0</v>
      </c>
      <c r="F11" s="20">
        <v>-209401.92</v>
      </c>
      <c r="G11" s="4">
        <v>2020000000</v>
      </c>
    </row>
    <row r="12" spans="2:7" x14ac:dyDescent="0.25">
      <c r="B12" s="2" t="s">
        <v>159</v>
      </c>
      <c r="C12" s="4" t="s">
        <v>208</v>
      </c>
      <c r="D12" s="4">
        <v>111111</v>
      </c>
      <c r="E12" s="4" t="s">
        <v>207</v>
      </c>
      <c r="F12" s="20">
        <v>14589.33</v>
      </c>
      <c r="G12" s="4">
        <v>2021210000</v>
      </c>
    </row>
    <row r="13" spans="2:7" x14ac:dyDescent="0.25">
      <c r="B13" s="2" t="s">
        <v>107</v>
      </c>
      <c r="C13" s="4" t="s">
        <v>224</v>
      </c>
      <c r="D13" s="4">
        <v>111111</v>
      </c>
      <c r="E13" s="4" t="s">
        <v>207</v>
      </c>
      <c r="F13" s="20">
        <v>5463188.8250000002</v>
      </c>
      <c r="G13" s="4">
        <v>2021900000</v>
      </c>
    </row>
    <row r="14" spans="2:7" x14ac:dyDescent="0.25">
      <c r="B14" s="2" t="s">
        <v>108</v>
      </c>
      <c r="C14" s="4" t="s">
        <v>66</v>
      </c>
      <c r="D14" s="4">
        <v>111111</v>
      </c>
      <c r="E14" s="4" t="s">
        <v>207</v>
      </c>
      <c r="F14" s="20">
        <v>343675</v>
      </c>
      <c r="G14" s="4">
        <v>2024080000</v>
      </c>
    </row>
    <row r="15" spans="2:7" x14ac:dyDescent="0.25">
      <c r="B15" s="2" t="s">
        <v>160</v>
      </c>
      <c r="C15" s="4" t="s">
        <v>65</v>
      </c>
      <c r="D15" s="4">
        <v>19</v>
      </c>
      <c r="E15" s="4" t="s">
        <v>40</v>
      </c>
      <c r="F15" s="20">
        <v>38521</v>
      </c>
      <c r="G15" s="4">
        <v>2024090000</v>
      </c>
    </row>
    <row r="16" spans="2:7" x14ac:dyDescent="0.25">
      <c r="B16" s="2" t="s">
        <v>109</v>
      </c>
      <c r="C16" s="4" t="s">
        <v>65</v>
      </c>
      <c r="D16" s="4">
        <v>88</v>
      </c>
      <c r="E16" s="4" t="s">
        <v>31</v>
      </c>
      <c r="F16" s="20">
        <v>1980162.23</v>
      </c>
      <c r="G16" s="4">
        <v>2024090000</v>
      </c>
    </row>
    <row r="17" spans="2:7" x14ac:dyDescent="0.25">
      <c r="B17" s="2" t="s">
        <v>161</v>
      </c>
      <c r="C17" s="4" t="s">
        <v>65</v>
      </c>
      <c r="D17" s="4" t="s">
        <v>11</v>
      </c>
      <c r="E17" s="4" t="s">
        <v>33</v>
      </c>
      <c r="F17" s="20">
        <v>1820</v>
      </c>
      <c r="G17" s="4">
        <v>2024090000</v>
      </c>
    </row>
    <row r="18" spans="2:7" x14ac:dyDescent="0.25">
      <c r="B18" s="2" t="s">
        <v>162</v>
      </c>
      <c r="C18" s="4" t="s">
        <v>65</v>
      </c>
      <c r="D18" s="4" t="s">
        <v>12</v>
      </c>
      <c r="E18" s="4" t="s">
        <v>35</v>
      </c>
      <c r="F18" s="20">
        <v>10448.129999999999</v>
      </c>
      <c r="G18" s="4">
        <v>2024090000</v>
      </c>
    </row>
    <row r="19" spans="2:7" x14ac:dyDescent="0.25">
      <c r="B19" s="2" t="s">
        <v>163</v>
      </c>
      <c r="C19" s="4" t="s">
        <v>65</v>
      </c>
      <c r="D19" s="4" t="s">
        <v>13</v>
      </c>
      <c r="E19" s="4" t="s">
        <v>48</v>
      </c>
      <c r="F19" s="20">
        <v>10412.5</v>
      </c>
      <c r="G19" s="4">
        <v>2024090000</v>
      </c>
    </row>
    <row r="20" spans="2:7" x14ac:dyDescent="0.25">
      <c r="B20" s="2" t="s">
        <v>110</v>
      </c>
      <c r="C20" s="4" t="s">
        <v>65</v>
      </c>
      <c r="D20" s="4">
        <v>111111</v>
      </c>
      <c r="E20" s="4" t="s">
        <v>207</v>
      </c>
      <c r="F20" s="20">
        <v>27148.625</v>
      </c>
      <c r="G20" s="4">
        <v>2024090000</v>
      </c>
    </row>
    <row r="21" spans="2:7" x14ac:dyDescent="0.25">
      <c r="B21" s="2" t="s">
        <v>111</v>
      </c>
      <c r="C21" s="4" t="s">
        <v>1</v>
      </c>
      <c r="D21" s="4">
        <v>111111</v>
      </c>
      <c r="E21" s="4" t="s">
        <v>207</v>
      </c>
      <c r="F21" s="20">
        <v>5507141.0549999997</v>
      </c>
      <c r="G21" s="4">
        <v>2041000000</v>
      </c>
    </row>
    <row r="22" spans="2:7" x14ac:dyDescent="0.25">
      <c r="B22" s="2" t="s">
        <v>112</v>
      </c>
      <c r="C22" s="4" t="s">
        <v>2</v>
      </c>
      <c r="D22" s="4">
        <v>111101</v>
      </c>
      <c r="E22" s="4" t="s">
        <v>0</v>
      </c>
      <c r="F22" s="20">
        <v>1752994.18</v>
      </c>
      <c r="G22" s="4">
        <v>2042000000</v>
      </c>
    </row>
    <row r="23" spans="2:7" x14ac:dyDescent="0.25">
      <c r="B23" s="2" t="s">
        <v>112</v>
      </c>
      <c r="C23" s="4" t="s">
        <v>67</v>
      </c>
      <c r="D23" s="4">
        <v>111101</v>
      </c>
      <c r="E23" s="4" t="s">
        <v>0</v>
      </c>
      <c r="F23" s="20">
        <v>304303.86000000004</v>
      </c>
      <c r="G23" s="4">
        <v>2042000000</v>
      </c>
    </row>
    <row r="24" spans="2:7" x14ac:dyDescent="0.25">
      <c r="B24" s="2" t="s">
        <v>113</v>
      </c>
      <c r="C24" s="4" t="s">
        <v>68</v>
      </c>
      <c r="D24" s="4">
        <v>111101</v>
      </c>
      <c r="E24" s="4" t="s">
        <v>0</v>
      </c>
      <c r="F24" s="20">
        <v>500500</v>
      </c>
      <c r="G24" s="4">
        <v>2045000000</v>
      </c>
    </row>
    <row r="25" spans="2:7" x14ac:dyDescent="0.25">
      <c r="B25" s="2" t="s">
        <v>164</v>
      </c>
      <c r="C25" s="4" t="s">
        <v>14</v>
      </c>
      <c r="D25" s="4">
        <v>111101</v>
      </c>
      <c r="E25" s="4" t="s">
        <v>0</v>
      </c>
      <c r="F25" s="20">
        <v>6919.8499999999995</v>
      </c>
      <c r="G25" s="4">
        <v>2049000000</v>
      </c>
    </row>
    <row r="26" spans="2:7" x14ac:dyDescent="0.25">
      <c r="B26" s="2" t="s">
        <v>114</v>
      </c>
      <c r="C26" s="4" t="s">
        <v>69</v>
      </c>
      <c r="D26" s="4">
        <v>111101</v>
      </c>
      <c r="E26" s="4" t="s">
        <v>0</v>
      </c>
      <c r="F26" s="20">
        <v>1897676.87</v>
      </c>
      <c r="G26" s="4">
        <v>2051210000</v>
      </c>
    </row>
    <row r="27" spans="2:7" x14ac:dyDescent="0.25">
      <c r="B27" s="2" t="s">
        <v>115</v>
      </c>
      <c r="C27" s="4" t="s">
        <v>69</v>
      </c>
      <c r="D27" s="4">
        <v>111101</v>
      </c>
      <c r="E27" s="4" t="s">
        <v>0</v>
      </c>
      <c r="F27" s="20">
        <v>146328.94499999998</v>
      </c>
      <c r="G27" s="4">
        <v>2051260000</v>
      </c>
    </row>
    <row r="28" spans="2:7" x14ac:dyDescent="0.25">
      <c r="B28" s="2" t="s">
        <v>165</v>
      </c>
      <c r="C28" s="4" t="s">
        <v>15</v>
      </c>
      <c r="D28" s="4">
        <v>111111</v>
      </c>
      <c r="E28" s="4" t="s">
        <v>207</v>
      </c>
      <c r="F28" s="20">
        <v>-121553.07499999998</v>
      </c>
      <c r="G28" s="4">
        <v>2060220000</v>
      </c>
    </row>
    <row r="29" spans="2:7" x14ac:dyDescent="0.25">
      <c r="B29" s="2" t="s">
        <v>116</v>
      </c>
      <c r="C29" s="4" t="s">
        <v>70</v>
      </c>
      <c r="D29" s="4" t="s">
        <v>3</v>
      </c>
      <c r="E29" s="4" t="s">
        <v>39</v>
      </c>
      <c r="F29" s="20">
        <v>-1643711.145</v>
      </c>
      <c r="G29" s="4">
        <v>2069010000</v>
      </c>
    </row>
    <row r="30" spans="2:7" x14ac:dyDescent="0.25">
      <c r="B30" s="2" t="s">
        <v>166</v>
      </c>
      <c r="C30" s="4" t="s">
        <v>70</v>
      </c>
      <c r="D30" s="4">
        <v>19</v>
      </c>
      <c r="E30" s="4" t="s">
        <v>40</v>
      </c>
      <c r="F30" s="20">
        <v>-416278.66</v>
      </c>
      <c r="G30" s="4">
        <v>2069010000</v>
      </c>
    </row>
    <row r="31" spans="2:7" x14ac:dyDescent="0.25">
      <c r="B31" s="2" t="s">
        <v>167</v>
      </c>
      <c r="C31" s="4" t="s">
        <v>70</v>
      </c>
      <c r="D31" s="4" t="s">
        <v>16</v>
      </c>
      <c r="E31" s="4" t="s">
        <v>50</v>
      </c>
      <c r="F31" s="20">
        <v>-364243.84499999997</v>
      </c>
      <c r="G31" s="4">
        <v>2069010000</v>
      </c>
    </row>
    <row r="32" spans="2:7" x14ac:dyDescent="0.25">
      <c r="B32" s="2" t="s">
        <v>168</v>
      </c>
      <c r="C32" s="4" t="s">
        <v>70</v>
      </c>
      <c r="D32" s="4" t="s">
        <v>10</v>
      </c>
      <c r="E32" s="4" t="s">
        <v>46</v>
      </c>
      <c r="F32" s="20">
        <v>0</v>
      </c>
      <c r="G32" s="4">
        <v>2069010000</v>
      </c>
    </row>
    <row r="33" spans="2:7" x14ac:dyDescent="0.25">
      <c r="B33" s="2" t="s">
        <v>120</v>
      </c>
      <c r="C33" s="4" t="s">
        <v>70</v>
      </c>
      <c r="D33" s="4">
        <v>1009</v>
      </c>
      <c r="E33" s="4" t="s">
        <v>34</v>
      </c>
      <c r="F33" s="20">
        <v>0</v>
      </c>
      <c r="G33" s="4">
        <v>2069010000</v>
      </c>
    </row>
    <row r="34" spans="2:7" x14ac:dyDescent="0.25">
      <c r="B34" s="2" t="s">
        <v>121</v>
      </c>
      <c r="C34" s="4" t="s">
        <v>70</v>
      </c>
      <c r="D34" s="4">
        <v>1007</v>
      </c>
      <c r="E34" s="4" t="s">
        <v>36</v>
      </c>
      <c r="F34" s="20">
        <v>0</v>
      </c>
      <c r="G34" s="4">
        <v>2069010000</v>
      </c>
    </row>
    <row r="35" spans="2:7" x14ac:dyDescent="0.25">
      <c r="B35" s="2" t="s">
        <v>122</v>
      </c>
      <c r="C35" s="4" t="s">
        <v>70</v>
      </c>
      <c r="D35" s="4">
        <v>1008</v>
      </c>
      <c r="E35" s="4" t="s">
        <v>38</v>
      </c>
      <c r="F35" s="20">
        <v>0</v>
      </c>
      <c r="G35" s="4">
        <v>2069010000</v>
      </c>
    </row>
    <row r="36" spans="2:7" x14ac:dyDescent="0.25">
      <c r="B36" s="2" t="s">
        <v>123</v>
      </c>
      <c r="C36" s="4" t="s">
        <v>70</v>
      </c>
      <c r="D36" s="4">
        <v>1240</v>
      </c>
      <c r="E36" s="4" t="s">
        <v>43</v>
      </c>
      <c r="F36" s="20">
        <v>-10461.36</v>
      </c>
      <c r="G36" s="4">
        <v>2069010000</v>
      </c>
    </row>
    <row r="37" spans="2:7" x14ac:dyDescent="0.25">
      <c r="B37" s="2" t="s">
        <v>121</v>
      </c>
      <c r="C37" s="4" t="s">
        <v>70</v>
      </c>
      <c r="D37" s="4">
        <v>1007</v>
      </c>
      <c r="E37" s="4" t="s">
        <v>37</v>
      </c>
      <c r="F37" s="20">
        <v>0</v>
      </c>
      <c r="G37" s="4">
        <v>2069010000</v>
      </c>
    </row>
    <row r="38" spans="2:7" x14ac:dyDescent="0.25">
      <c r="B38" s="2" t="s">
        <v>169</v>
      </c>
      <c r="C38" s="4" t="s">
        <v>70</v>
      </c>
      <c r="D38" s="4" t="s">
        <v>17</v>
      </c>
      <c r="E38" s="4" t="s">
        <v>51</v>
      </c>
      <c r="F38" s="20">
        <v>-482611.04499999998</v>
      </c>
      <c r="G38" s="4">
        <v>2069010000</v>
      </c>
    </row>
    <row r="39" spans="2:7" x14ac:dyDescent="0.25">
      <c r="B39" s="2" t="s">
        <v>124</v>
      </c>
      <c r="C39" s="4" t="s">
        <v>70</v>
      </c>
      <c r="D39" s="4">
        <v>111111</v>
      </c>
      <c r="E39" s="4" t="s">
        <v>207</v>
      </c>
      <c r="F39" s="20">
        <v>-6785.94</v>
      </c>
      <c r="G39" s="4">
        <v>2069010000</v>
      </c>
    </row>
    <row r="40" spans="2:7" x14ac:dyDescent="0.25">
      <c r="B40" s="2" t="s">
        <v>170</v>
      </c>
      <c r="C40" s="4" t="s">
        <v>71</v>
      </c>
      <c r="D40" s="4">
        <v>88</v>
      </c>
      <c r="E40" s="4" t="s">
        <v>31</v>
      </c>
      <c r="F40" s="20">
        <v>-2436.35</v>
      </c>
      <c r="G40" s="4">
        <v>2069980000</v>
      </c>
    </row>
    <row r="41" spans="2:7" x14ac:dyDescent="0.25">
      <c r="B41" s="2" t="s">
        <v>125</v>
      </c>
      <c r="C41" s="4" t="s">
        <v>71</v>
      </c>
      <c r="D41" s="4">
        <v>111111</v>
      </c>
      <c r="E41" s="4" t="s">
        <v>207</v>
      </c>
      <c r="F41" s="20">
        <v>9793.84</v>
      </c>
      <c r="G41" s="4">
        <v>2069980000</v>
      </c>
    </row>
    <row r="42" spans="2:7" x14ac:dyDescent="0.25">
      <c r="B42" s="2" t="s">
        <v>171</v>
      </c>
      <c r="C42" s="4" t="s">
        <v>18</v>
      </c>
      <c r="D42" s="4">
        <v>111101</v>
      </c>
      <c r="E42" s="4" t="s">
        <v>0</v>
      </c>
      <c r="F42" s="20">
        <v>81.339999999999989</v>
      </c>
      <c r="G42" s="4">
        <v>2070290000</v>
      </c>
    </row>
    <row r="43" spans="2:7" x14ac:dyDescent="0.25">
      <c r="B43" s="2" t="s">
        <v>126</v>
      </c>
      <c r="C43" s="4" t="s">
        <v>72</v>
      </c>
      <c r="D43" s="4">
        <v>111111</v>
      </c>
      <c r="E43" s="4" t="s">
        <v>207</v>
      </c>
      <c r="F43" s="20">
        <v>65947.7</v>
      </c>
      <c r="G43" s="4">
        <v>2070400000</v>
      </c>
    </row>
    <row r="44" spans="2:7" x14ac:dyDescent="0.25">
      <c r="B44" s="2" t="s">
        <v>128</v>
      </c>
      <c r="C44" s="4" t="s">
        <v>73</v>
      </c>
      <c r="D44" s="4">
        <v>111111</v>
      </c>
      <c r="E44" s="4" t="s">
        <v>207</v>
      </c>
      <c r="F44" s="20">
        <v>5138.91</v>
      </c>
      <c r="G44" s="4">
        <v>2070500000</v>
      </c>
    </row>
    <row r="45" spans="2:7" x14ac:dyDescent="0.25">
      <c r="B45" s="2" t="s">
        <v>129</v>
      </c>
      <c r="C45" s="4" t="s">
        <v>74</v>
      </c>
      <c r="D45" s="4">
        <v>111111</v>
      </c>
      <c r="E45" s="4" t="s">
        <v>207</v>
      </c>
      <c r="F45" s="20">
        <v>1055381.4750000001</v>
      </c>
      <c r="G45" s="4">
        <v>2070600000</v>
      </c>
    </row>
    <row r="46" spans="2:7" x14ac:dyDescent="0.25">
      <c r="B46" s="2" t="s">
        <v>131</v>
      </c>
      <c r="C46" s="4" t="s">
        <v>75</v>
      </c>
      <c r="D46" s="4" t="s">
        <v>6</v>
      </c>
      <c r="E46" s="4" t="s">
        <v>42</v>
      </c>
      <c r="F46" s="20">
        <v>430845.34499999997</v>
      </c>
      <c r="G46" s="4">
        <v>2070900000</v>
      </c>
    </row>
    <row r="47" spans="2:7" x14ac:dyDescent="0.25">
      <c r="B47" s="2" t="s">
        <v>172</v>
      </c>
      <c r="C47" s="4" t="s">
        <v>75</v>
      </c>
      <c r="D47" s="4">
        <v>105</v>
      </c>
      <c r="E47" s="4" t="s">
        <v>32</v>
      </c>
      <c r="F47" s="20">
        <v>276920</v>
      </c>
      <c r="G47" s="4">
        <v>2070900000</v>
      </c>
    </row>
    <row r="48" spans="2:7" x14ac:dyDescent="0.25">
      <c r="B48" s="2" t="s">
        <v>132</v>
      </c>
      <c r="C48" s="4" t="s">
        <v>75</v>
      </c>
      <c r="D48" s="4">
        <v>111111</v>
      </c>
      <c r="E48" s="4" t="s">
        <v>207</v>
      </c>
      <c r="F48" s="20">
        <v>1130021</v>
      </c>
      <c r="G48" s="4">
        <v>2070900000</v>
      </c>
    </row>
    <row r="49" spans="2:7" x14ac:dyDescent="0.25">
      <c r="B49" s="2" t="s">
        <v>133</v>
      </c>
      <c r="C49" s="4" t="s">
        <v>7</v>
      </c>
      <c r="D49" s="4">
        <v>111111</v>
      </c>
      <c r="E49" s="4" t="s">
        <v>207</v>
      </c>
      <c r="F49" s="20">
        <v>7293.5450000000001</v>
      </c>
      <c r="G49" s="4">
        <v>2071000000</v>
      </c>
    </row>
    <row r="50" spans="2:7" x14ac:dyDescent="0.25">
      <c r="B50" s="2" t="s">
        <v>173</v>
      </c>
      <c r="C50" s="4" t="s">
        <v>76</v>
      </c>
      <c r="D50" s="4">
        <v>1900</v>
      </c>
      <c r="E50" s="4" t="s">
        <v>52</v>
      </c>
      <c r="F50" s="20">
        <v>0</v>
      </c>
      <c r="G50" s="4">
        <v>2071100000</v>
      </c>
    </row>
    <row r="51" spans="2:7" x14ac:dyDescent="0.25">
      <c r="B51" s="2" t="s">
        <v>134</v>
      </c>
      <c r="C51" s="4" t="s">
        <v>76</v>
      </c>
      <c r="D51" s="4">
        <v>111111</v>
      </c>
      <c r="E51" s="4" t="s">
        <v>207</v>
      </c>
      <c r="F51" s="20">
        <v>48468.665000000001</v>
      </c>
      <c r="G51" s="4">
        <v>2071100000</v>
      </c>
    </row>
    <row r="52" spans="2:7" x14ac:dyDescent="0.25">
      <c r="B52" s="2" t="s">
        <v>174</v>
      </c>
      <c r="C52" s="4" t="s">
        <v>8</v>
      </c>
      <c r="D52" s="4" t="s">
        <v>19</v>
      </c>
      <c r="E52" s="4" t="s">
        <v>54</v>
      </c>
      <c r="F52" s="20">
        <v>23928.799999999999</v>
      </c>
      <c r="G52" s="4">
        <v>2071209200</v>
      </c>
    </row>
    <row r="53" spans="2:7" x14ac:dyDescent="0.25">
      <c r="B53" s="2" t="s">
        <v>135</v>
      </c>
      <c r="C53" s="4" t="s">
        <v>8</v>
      </c>
      <c r="D53" s="4">
        <v>111111</v>
      </c>
      <c r="E53" s="4" t="s">
        <v>207</v>
      </c>
      <c r="F53" s="20">
        <v>2393259.19</v>
      </c>
      <c r="G53" s="4">
        <v>2071209200</v>
      </c>
    </row>
    <row r="54" spans="2:7" x14ac:dyDescent="0.25">
      <c r="B54" s="2" t="s">
        <v>136</v>
      </c>
      <c r="C54" s="4" t="s">
        <v>77</v>
      </c>
      <c r="D54" s="4">
        <v>111111</v>
      </c>
      <c r="E54" s="4" t="s">
        <v>207</v>
      </c>
      <c r="F54" s="20">
        <v>23069.654999999999</v>
      </c>
      <c r="G54" s="4">
        <v>2071209400</v>
      </c>
    </row>
    <row r="55" spans="2:7" x14ac:dyDescent="0.25">
      <c r="B55" s="2" t="s">
        <v>137</v>
      </c>
      <c r="C55" s="4" t="s">
        <v>78</v>
      </c>
      <c r="D55" s="4">
        <v>111111</v>
      </c>
      <c r="E55" s="4" t="s">
        <v>207</v>
      </c>
      <c r="F55" s="20">
        <v>208366.935</v>
      </c>
      <c r="G55" s="4">
        <v>2071209500</v>
      </c>
    </row>
    <row r="56" spans="2:7" x14ac:dyDescent="0.25">
      <c r="B56" s="2" t="s">
        <v>175</v>
      </c>
      <c r="C56" s="4" t="s">
        <v>20</v>
      </c>
      <c r="D56" s="4">
        <v>111111</v>
      </c>
      <c r="E56" s="4" t="s">
        <v>207</v>
      </c>
      <c r="F56" s="20">
        <v>308232</v>
      </c>
      <c r="G56" s="4">
        <v>2071220000</v>
      </c>
    </row>
    <row r="57" spans="2:7" x14ac:dyDescent="0.25">
      <c r="B57" s="2" t="s">
        <v>176</v>
      </c>
      <c r="C57" s="4" t="s">
        <v>21</v>
      </c>
      <c r="D57" s="4">
        <v>19</v>
      </c>
      <c r="E57" s="4" t="s">
        <v>40</v>
      </c>
      <c r="F57" s="20">
        <v>13422.779999999999</v>
      </c>
      <c r="G57" s="4">
        <v>2071511000</v>
      </c>
    </row>
    <row r="58" spans="2:7" x14ac:dyDescent="0.25">
      <c r="B58" s="2" t="s">
        <v>177</v>
      </c>
      <c r="C58" s="4" t="s">
        <v>21</v>
      </c>
      <c r="D58" s="4">
        <v>111111</v>
      </c>
      <c r="E58" s="4" t="s">
        <v>207</v>
      </c>
      <c r="F58" s="20">
        <v>4045.6150000000002</v>
      </c>
      <c r="G58" s="4">
        <v>2071511000</v>
      </c>
    </row>
    <row r="59" spans="2:7" x14ac:dyDescent="0.25">
      <c r="B59" s="2" t="s">
        <v>178</v>
      </c>
      <c r="C59" s="4" t="s">
        <v>22</v>
      </c>
      <c r="D59" s="4">
        <v>111111</v>
      </c>
      <c r="E59" s="4" t="s">
        <v>207</v>
      </c>
      <c r="F59" s="20">
        <v>49621.144999999997</v>
      </c>
      <c r="G59" s="4">
        <v>2071910000</v>
      </c>
    </row>
    <row r="60" spans="2:7" x14ac:dyDescent="0.25">
      <c r="B60" s="2" t="s">
        <v>138</v>
      </c>
      <c r="C60" s="4" t="s">
        <v>79</v>
      </c>
      <c r="D60" s="4">
        <v>111101</v>
      </c>
      <c r="E60" s="4" t="s">
        <v>0</v>
      </c>
      <c r="F60" s="20">
        <v>20323.309999999998</v>
      </c>
      <c r="G60" s="4">
        <v>2071980000</v>
      </c>
    </row>
    <row r="61" spans="2:7" x14ac:dyDescent="0.25">
      <c r="B61" s="2" t="s">
        <v>139</v>
      </c>
      <c r="C61" s="4" t="s">
        <v>80</v>
      </c>
      <c r="D61" s="4">
        <v>111111</v>
      </c>
      <c r="E61" s="4" t="s">
        <v>207</v>
      </c>
      <c r="F61" s="20">
        <v>169489</v>
      </c>
      <c r="G61" s="4">
        <v>2079022000</v>
      </c>
    </row>
    <row r="62" spans="2:7" x14ac:dyDescent="0.25">
      <c r="B62" s="2" t="s">
        <v>179</v>
      </c>
      <c r="C62" s="4" t="s">
        <v>81</v>
      </c>
      <c r="D62" s="4">
        <v>19</v>
      </c>
      <c r="E62" s="4" t="s">
        <v>40</v>
      </c>
      <c r="F62" s="20">
        <v>85462.684999999998</v>
      </c>
      <c r="G62" s="4">
        <v>2079070000</v>
      </c>
    </row>
    <row r="63" spans="2:7" x14ac:dyDescent="0.25">
      <c r="B63" s="2" t="s">
        <v>180</v>
      </c>
      <c r="C63" s="4" t="s">
        <v>81</v>
      </c>
      <c r="D63" s="4" t="s">
        <v>5</v>
      </c>
      <c r="E63" s="4" t="s">
        <v>41</v>
      </c>
      <c r="F63" s="20">
        <v>11422.144999999999</v>
      </c>
      <c r="G63" s="4">
        <v>2079070000</v>
      </c>
    </row>
    <row r="64" spans="2:7" x14ac:dyDescent="0.25">
      <c r="B64" s="2" t="s">
        <v>181</v>
      </c>
      <c r="C64" s="4" t="s">
        <v>81</v>
      </c>
      <c r="D64" s="4" t="s">
        <v>12</v>
      </c>
      <c r="E64" s="4" t="s">
        <v>35</v>
      </c>
      <c r="F64" s="20">
        <v>84438.864999999991</v>
      </c>
      <c r="G64" s="4">
        <v>2079070000</v>
      </c>
    </row>
    <row r="65" spans="2:7" x14ac:dyDescent="0.25">
      <c r="B65" s="2" t="s">
        <v>141</v>
      </c>
      <c r="C65" s="4" t="s">
        <v>81</v>
      </c>
      <c r="D65" s="4">
        <v>111111</v>
      </c>
      <c r="E65" s="4" t="s">
        <v>207</v>
      </c>
      <c r="F65" s="20">
        <v>638869.13</v>
      </c>
      <c r="G65" s="4">
        <v>2079070000</v>
      </c>
    </row>
    <row r="66" spans="2:7" x14ac:dyDescent="0.25">
      <c r="B66" s="2" t="s">
        <v>182</v>
      </c>
      <c r="C66" s="4" t="s">
        <v>82</v>
      </c>
      <c r="D66" s="4" t="s">
        <v>10</v>
      </c>
      <c r="E66" s="4" t="s">
        <v>46</v>
      </c>
      <c r="F66" s="20">
        <v>0</v>
      </c>
      <c r="G66" s="4">
        <v>2079080000</v>
      </c>
    </row>
    <row r="67" spans="2:7" x14ac:dyDescent="0.25">
      <c r="B67" s="2" t="s">
        <v>143</v>
      </c>
      <c r="C67" s="4" t="s">
        <v>82</v>
      </c>
      <c r="D67" s="4">
        <v>1007</v>
      </c>
      <c r="E67" s="4" t="s">
        <v>36</v>
      </c>
      <c r="F67" s="20">
        <v>0</v>
      </c>
      <c r="G67" s="4">
        <v>2079080000</v>
      </c>
    </row>
    <row r="68" spans="2:7" x14ac:dyDescent="0.25">
      <c r="B68" s="2" t="s">
        <v>144</v>
      </c>
      <c r="C68" s="4" t="s">
        <v>82</v>
      </c>
      <c r="D68" s="4">
        <v>1008</v>
      </c>
      <c r="E68" s="4" t="s">
        <v>38</v>
      </c>
      <c r="F68" s="20">
        <v>0</v>
      </c>
      <c r="G68" s="4">
        <v>2079080000</v>
      </c>
    </row>
    <row r="69" spans="2:7" x14ac:dyDescent="0.25">
      <c r="B69" s="2" t="s">
        <v>183</v>
      </c>
      <c r="C69" s="4" t="s">
        <v>83</v>
      </c>
      <c r="D69" s="4" t="s">
        <v>10</v>
      </c>
      <c r="E69" s="4" t="s">
        <v>46</v>
      </c>
      <c r="F69" s="20">
        <v>0</v>
      </c>
      <c r="G69" s="4">
        <v>2082280000</v>
      </c>
    </row>
    <row r="70" spans="2:7" x14ac:dyDescent="0.25">
      <c r="B70" s="2" t="s">
        <v>145</v>
      </c>
      <c r="C70" s="4" t="s">
        <v>83</v>
      </c>
      <c r="D70" s="4">
        <v>1009</v>
      </c>
      <c r="E70" s="4" t="s">
        <v>34</v>
      </c>
      <c r="F70" s="20">
        <v>0</v>
      </c>
      <c r="G70" s="4">
        <v>2082280000</v>
      </c>
    </row>
    <row r="71" spans="2:7" x14ac:dyDescent="0.25">
      <c r="B71" s="2" t="s">
        <v>146</v>
      </c>
      <c r="C71" s="4" t="s">
        <v>83</v>
      </c>
      <c r="D71" s="4">
        <v>1007</v>
      </c>
      <c r="E71" s="4" t="s">
        <v>36</v>
      </c>
      <c r="F71" s="20">
        <v>0</v>
      </c>
      <c r="G71" s="4">
        <v>2082280000</v>
      </c>
    </row>
    <row r="72" spans="2:7" x14ac:dyDescent="0.25">
      <c r="B72" s="2" t="s">
        <v>147</v>
      </c>
      <c r="C72" s="4" t="s">
        <v>83</v>
      </c>
      <c r="D72" s="4">
        <v>1008</v>
      </c>
      <c r="E72" s="4" t="s">
        <v>38</v>
      </c>
      <c r="F72" s="20">
        <v>0</v>
      </c>
      <c r="G72" s="4">
        <v>2082280000</v>
      </c>
    </row>
    <row r="73" spans="2:7" x14ac:dyDescent="0.25">
      <c r="B73" s="2" t="s">
        <v>148</v>
      </c>
      <c r="C73" s="4" t="s">
        <v>83</v>
      </c>
      <c r="D73" s="4">
        <v>1240</v>
      </c>
      <c r="E73" s="4" t="s">
        <v>43</v>
      </c>
      <c r="F73" s="20">
        <v>-34224.959999999999</v>
      </c>
      <c r="G73" s="4">
        <v>2082280000</v>
      </c>
    </row>
    <row r="74" spans="2:7" x14ac:dyDescent="0.25">
      <c r="B74" s="2" t="s">
        <v>184</v>
      </c>
      <c r="C74" s="4" t="s">
        <v>83</v>
      </c>
      <c r="D74" s="4">
        <v>1006</v>
      </c>
      <c r="E74" s="4" t="s">
        <v>53</v>
      </c>
      <c r="F74" s="20">
        <v>-6778.415</v>
      </c>
      <c r="G74" s="4">
        <v>2082280000</v>
      </c>
    </row>
    <row r="75" spans="2:7" x14ac:dyDescent="0.25">
      <c r="B75" s="2" t="s">
        <v>146</v>
      </c>
      <c r="C75" s="4" t="s">
        <v>83</v>
      </c>
      <c r="D75" s="4">
        <v>1007</v>
      </c>
      <c r="E75" s="4" t="s">
        <v>37</v>
      </c>
      <c r="F75" s="20">
        <v>0</v>
      </c>
      <c r="G75" s="4">
        <v>2082280000</v>
      </c>
    </row>
    <row r="76" spans="2:7" x14ac:dyDescent="0.25">
      <c r="B76" s="2" t="s">
        <v>149</v>
      </c>
      <c r="C76" s="4" t="s">
        <v>83</v>
      </c>
      <c r="D76" s="4">
        <v>111111</v>
      </c>
      <c r="E76" s="4" t="s">
        <v>207</v>
      </c>
      <c r="F76" s="20">
        <v>-2204.7199999999998</v>
      </c>
      <c r="G76" s="4">
        <v>2082280000</v>
      </c>
    </row>
    <row r="77" spans="2:7" x14ac:dyDescent="0.25">
      <c r="B77" s="2" t="s">
        <v>151</v>
      </c>
      <c r="C77" s="4" t="s">
        <v>84</v>
      </c>
      <c r="D77" s="4">
        <v>111101</v>
      </c>
      <c r="E77" s="4" t="s">
        <v>0</v>
      </c>
      <c r="F77" s="20">
        <v>80617.179999999993</v>
      </c>
      <c r="G77" s="4">
        <v>2082208200</v>
      </c>
    </row>
    <row r="78" spans="2:7" x14ac:dyDescent="0.25">
      <c r="B78" s="2" t="s">
        <v>152</v>
      </c>
      <c r="C78" s="4" t="s">
        <v>85</v>
      </c>
      <c r="D78" s="4">
        <v>88</v>
      </c>
      <c r="E78" s="4" t="s">
        <v>31</v>
      </c>
      <c r="F78" s="20">
        <v>2752704.22</v>
      </c>
      <c r="G78" s="4">
        <v>2082214000</v>
      </c>
    </row>
    <row r="79" spans="2:7" x14ac:dyDescent="0.25">
      <c r="B79" s="2" t="s">
        <v>185</v>
      </c>
      <c r="C79" s="4" t="s">
        <v>85</v>
      </c>
      <c r="D79" s="4">
        <v>1007</v>
      </c>
      <c r="E79" s="4" t="s">
        <v>37</v>
      </c>
      <c r="F79" s="20">
        <v>0</v>
      </c>
      <c r="G79" s="4">
        <v>2082214000</v>
      </c>
    </row>
    <row r="80" spans="2:7" x14ac:dyDescent="0.25">
      <c r="B80" s="2" t="s">
        <v>186</v>
      </c>
      <c r="C80" s="4" t="s">
        <v>85</v>
      </c>
      <c r="D80" s="4">
        <v>111111</v>
      </c>
      <c r="E80" s="4" t="s">
        <v>207</v>
      </c>
      <c r="F80" s="20">
        <v>1250.7950000000001</v>
      </c>
      <c r="G80" s="4">
        <v>2082214000</v>
      </c>
    </row>
    <row r="81" spans="2:7" x14ac:dyDescent="0.25">
      <c r="B81" s="2" t="s">
        <v>187</v>
      </c>
      <c r="C81" s="4" t="s">
        <v>209</v>
      </c>
      <c r="D81" s="4">
        <v>1240</v>
      </c>
      <c r="E81" s="4" t="s">
        <v>43</v>
      </c>
      <c r="F81" s="20">
        <v>4130000</v>
      </c>
      <c r="G81" s="4">
        <v>2082110000</v>
      </c>
    </row>
    <row r="82" spans="2:7" x14ac:dyDescent="0.25">
      <c r="B82" s="2" t="s">
        <v>153</v>
      </c>
      <c r="C82" s="4" t="s">
        <v>86</v>
      </c>
      <c r="D82" s="4">
        <v>111101</v>
      </c>
      <c r="E82" s="4" t="s">
        <v>0</v>
      </c>
      <c r="F82" s="20">
        <v>496748.70000000007</v>
      </c>
      <c r="G82" s="4">
        <v>2091200000</v>
      </c>
    </row>
    <row r="83" spans="2:7" x14ac:dyDescent="0.25">
      <c r="B83" s="2" t="s">
        <v>154</v>
      </c>
      <c r="C83" s="4" t="s">
        <v>87</v>
      </c>
      <c r="D83" s="4">
        <v>111101</v>
      </c>
      <c r="E83" s="4" t="s">
        <v>0</v>
      </c>
      <c r="F83" s="20">
        <v>480872.96000000002</v>
      </c>
      <c r="G83" s="4">
        <v>2091200001</v>
      </c>
    </row>
    <row r="84" spans="2:7" x14ac:dyDescent="0.25">
      <c r="B84" s="2" t="s">
        <v>188</v>
      </c>
      <c r="C84" s="4" t="s">
        <v>23</v>
      </c>
      <c r="D84" s="4">
        <v>111101</v>
      </c>
      <c r="E84" s="4" t="s">
        <v>0</v>
      </c>
      <c r="F84" s="20">
        <v>0</v>
      </c>
      <c r="G84" s="4">
        <v>2091900000</v>
      </c>
    </row>
    <row r="85" spans="2:7" x14ac:dyDescent="0.25">
      <c r="B85" s="2" t="s">
        <v>155</v>
      </c>
      <c r="C85" s="4" t="s">
        <v>88</v>
      </c>
      <c r="D85" s="4">
        <v>111101</v>
      </c>
      <c r="E85" s="4" t="s">
        <v>0</v>
      </c>
      <c r="F85" s="20">
        <v>6570.3050000000003</v>
      </c>
      <c r="G85" s="4">
        <v>2092200000</v>
      </c>
    </row>
    <row r="86" spans="2:7" x14ac:dyDescent="0.25">
      <c r="B86" s="18" t="s">
        <v>189</v>
      </c>
      <c r="C86" s="19" t="s">
        <v>61</v>
      </c>
      <c r="D86" s="19">
        <v>111101</v>
      </c>
      <c r="E86" s="19" t="s">
        <v>0</v>
      </c>
      <c r="F86" s="21">
        <v>6073808.1600000001</v>
      </c>
      <c r="G86" s="19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B1" sqref="B1"/>
    </sheetView>
  </sheetViews>
  <sheetFormatPr defaultColWidth="9.08984375" defaultRowHeight="11.5" x14ac:dyDescent="0.25"/>
  <cols>
    <col min="1" max="1" width="2" style="2" customWidth="1"/>
    <col min="2" max="3" width="17.36328125" style="2" bestFit="1" customWidth="1"/>
    <col min="4" max="4" width="20.54296875" style="2" customWidth="1"/>
    <col min="5" max="5" width="21.08984375" style="2" bestFit="1" customWidth="1"/>
    <col min="6" max="6" width="19.36328125" style="2" customWidth="1"/>
    <col min="7" max="7" width="13.08984375" style="2" bestFit="1" customWidth="1"/>
    <col min="8" max="8" width="12" style="2" bestFit="1" customWidth="1"/>
    <col min="9" max="9" width="17.36328125" style="2" bestFit="1" customWidth="1"/>
    <col min="10" max="16384" width="9.08984375" style="2"/>
  </cols>
  <sheetData>
    <row r="1" spans="2:7" ht="15.5" x14ac:dyDescent="0.35">
      <c r="B1" s="3" t="s">
        <v>252</v>
      </c>
    </row>
    <row r="4" spans="2:7" x14ac:dyDescent="0.25">
      <c r="B4" s="2" t="s">
        <v>99</v>
      </c>
      <c r="C4" s="4" t="s">
        <v>204</v>
      </c>
      <c r="D4" s="4" t="s">
        <v>30</v>
      </c>
      <c r="E4" s="4" t="s">
        <v>205</v>
      </c>
      <c r="F4" s="22" t="s">
        <v>206</v>
      </c>
      <c r="G4" s="4" t="s">
        <v>210</v>
      </c>
    </row>
    <row r="5" spans="2:7" x14ac:dyDescent="0.25">
      <c r="B5" s="2" t="s">
        <v>157</v>
      </c>
      <c r="C5" s="4" t="s">
        <v>62</v>
      </c>
      <c r="D5" s="4">
        <v>105</v>
      </c>
      <c r="E5" s="4" t="s">
        <v>32</v>
      </c>
      <c r="F5" s="23">
        <v>-616462.01899999997</v>
      </c>
      <c r="G5" s="4">
        <v>2001110000</v>
      </c>
    </row>
    <row r="6" spans="2:7" x14ac:dyDescent="0.25">
      <c r="B6" s="2" t="s">
        <v>101</v>
      </c>
      <c r="C6" s="2" t="s">
        <v>62</v>
      </c>
      <c r="D6" s="4">
        <v>111111</v>
      </c>
      <c r="E6" s="2" t="s">
        <v>207</v>
      </c>
      <c r="F6" s="17">
        <v>-14431341</v>
      </c>
      <c r="G6" s="4">
        <v>2001110000</v>
      </c>
    </row>
    <row r="7" spans="2:7" x14ac:dyDescent="0.25">
      <c r="B7" s="2" t="s">
        <v>102</v>
      </c>
      <c r="C7" s="4" t="s">
        <v>63</v>
      </c>
      <c r="D7" s="4">
        <v>111111</v>
      </c>
      <c r="E7" s="4" t="s">
        <v>207</v>
      </c>
      <c r="F7" s="20">
        <v>-6373617.5140000004</v>
      </c>
      <c r="G7" s="4">
        <v>2001190000</v>
      </c>
    </row>
    <row r="8" spans="2:7" x14ac:dyDescent="0.25">
      <c r="B8" s="2" t="s">
        <v>159</v>
      </c>
      <c r="C8" s="4" t="s">
        <v>211</v>
      </c>
      <c r="D8" s="4">
        <v>111111</v>
      </c>
      <c r="E8" s="4" t="s">
        <v>207</v>
      </c>
      <c r="F8" s="20">
        <v>20504.509999999998</v>
      </c>
      <c r="G8" s="4">
        <v>2021210000</v>
      </c>
    </row>
    <row r="9" spans="2:7" x14ac:dyDescent="0.25">
      <c r="B9" s="2" t="s">
        <v>107</v>
      </c>
      <c r="C9" s="4" t="s">
        <v>224</v>
      </c>
      <c r="D9" s="4">
        <v>111111</v>
      </c>
      <c r="E9" s="4" t="s">
        <v>207</v>
      </c>
      <c r="F9" s="20">
        <v>5674152.0669999998</v>
      </c>
      <c r="G9" s="4">
        <v>2021900000</v>
      </c>
    </row>
    <row r="10" spans="2:7" x14ac:dyDescent="0.25">
      <c r="B10" s="2" t="s">
        <v>190</v>
      </c>
      <c r="C10" s="4" t="s">
        <v>24</v>
      </c>
      <c r="D10" s="4">
        <v>111111</v>
      </c>
      <c r="E10" s="4" t="s">
        <v>207</v>
      </c>
      <c r="F10" s="20">
        <v>13691.949999999999</v>
      </c>
      <c r="G10" s="4">
        <v>2024020000</v>
      </c>
    </row>
    <row r="11" spans="2:7" x14ac:dyDescent="0.25">
      <c r="B11" s="2" t="s">
        <v>108</v>
      </c>
      <c r="C11" s="4" t="s">
        <v>66</v>
      </c>
      <c r="D11" s="4">
        <v>111111</v>
      </c>
      <c r="E11" s="4" t="s">
        <v>207</v>
      </c>
      <c r="F11" s="20">
        <v>350370.99399999995</v>
      </c>
      <c r="G11" s="4">
        <v>2024080000</v>
      </c>
    </row>
    <row r="12" spans="2:7" x14ac:dyDescent="0.25">
      <c r="B12" s="2" t="s">
        <v>109</v>
      </c>
      <c r="C12" s="4" t="s">
        <v>65</v>
      </c>
      <c r="D12" s="4">
        <v>88</v>
      </c>
      <c r="E12" s="4" t="s">
        <v>31</v>
      </c>
      <c r="F12" s="20">
        <v>3116017.1540000001</v>
      </c>
      <c r="G12" s="4">
        <v>2024090000</v>
      </c>
    </row>
    <row r="13" spans="2:7" x14ac:dyDescent="0.25">
      <c r="B13" s="2" t="s">
        <v>161</v>
      </c>
      <c r="C13" s="4" t="s">
        <v>65</v>
      </c>
      <c r="D13" s="4" t="s">
        <v>11</v>
      </c>
      <c r="E13" s="4" t="s">
        <v>33</v>
      </c>
      <c r="F13" s="20">
        <v>0</v>
      </c>
      <c r="G13" s="4">
        <v>2024090000</v>
      </c>
    </row>
    <row r="14" spans="2:7" x14ac:dyDescent="0.25">
      <c r="B14" s="2" t="s">
        <v>162</v>
      </c>
      <c r="C14" s="4" t="s">
        <v>65</v>
      </c>
      <c r="D14" s="4" t="s">
        <v>12</v>
      </c>
      <c r="E14" s="4" t="s">
        <v>35</v>
      </c>
      <c r="F14" s="20">
        <v>673.34299999999985</v>
      </c>
      <c r="G14" s="4">
        <v>2024090000</v>
      </c>
    </row>
    <row r="15" spans="2:7" x14ac:dyDescent="0.25">
      <c r="B15" s="2" t="s">
        <v>191</v>
      </c>
      <c r="C15" s="4" t="s">
        <v>65</v>
      </c>
      <c r="D15" s="4" t="s">
        <v>25</v>
      </c>
      <c r="E15" s="4" t="s">
        <v>47</v>
      </c>
      <c r="F15" s="20">
        <v>192017.14499999996</v>
      </c>
      <c r="G15" s="4">
        <v>2024090000</v>
      </c>
    </row>
    <row r="16" spans="2:7" x14ac:dyDescent="0.25">
      <c r="B16" s="2" t="s">
        <v>192</v>
      </c>
      <c r="C16" s="4" t="s">
        <v>65</v>
      </c>
      <c r="D16" s="4" t="s">
        <v>6</v>
      </c>
      <c r="E16" s="4" t="s">
        <v>42</v>
      </c>
      <c r="F16" s="20">
        <v>375290.46599999996</v>
      </c>
      <c r="G16" s="4">
        <v>2024090000</v>
      </c>
    </row>
    <row r="17" spans="2:7" x14ac:dyDescent="0.25">
      <c r="B17" s="2" t="s">
        <v>193</v>
      </c>
      <c r="C17" s="4" t="s">
        <v>65</v>
      </c>
      <c r="D17" s="4">
        <v>17000</v>
      </c>
      <c r="E17" s="4" t="s">
        <v>49</v>
      </c>
      <c r="F17" s="20">
        <v>4920</v>
      </c>
      <c r="G17" s="4">
        <v>2024090000</v>
      </c>
    </row>
    <row r="18" spans="2:7" x14ac:dyDescent="0.25">
      <c r="B18" s="2" t="s">
        <v>110</v>
      </c>
      <c r="C18" s="4" t="s">
        <v>65</v>
      </c>
      <c r="D18" s="4">
        <v>111111</v>
      </c>
      <c r="E18" s="4" t="s">
        <v>207</v>
      </c>
      <c r="F18" s="20">
        <v>9783.7069999999985</v>
      </c>
      <c r="G18" s="4">
        <v>2024090000</v>
      </c>
    </row>
    <row r="19" spans="2:7" x14ac:dyDescent="0.25">
      <c r="B19" s="2" t="s">
        <v>111</v>
      </c>
      <c r="C19" s="4" t="s">
        <v>1</v>
      </c>
      <c r="D19" s="4">
        <v>111111</v>
      </c>
      <c r="E19" s="4" t="s">
        <v>207</v>
      </c>
      <c r="F19" s="20">
        <v>3982699.5329999998</v>
      </c>
      <c r="G19" s="4">
        <v>2041000000</v>
      </c>
    </row>
    <row r="20" spans="2:7" x14ac:dyDescent="0.25">
      <c r="B20" s="2" t="s">
        <v>112</v>
      </c>
      <c r="C20" s="4" t="s">
        <v>2</v>
      </c>
      <c r="D20" s="4">
        <v>111101</v>
      </c>
      <c r="E20" s="4" t="s">
        <v>0</v>
      </c>
      <c r="F20" s="20">
        <v>1420796.8209999998</v>
      </c>
      <c r="G20" s="4">
        <v>2042000000</v>
      </c>
    </row>
    <row r="21" spans="2:7" x14ac:dyDescent="0.25">
      <c r="B21" s="2" t="s">
        <v>112</v>
      </c>
      <c r="C21" s="4" t="s">
        <v>67</v>
      </c>
      <c r="D21" s="4">
        <v>111101</v>
      </c>
      <c r="E21" s="4" t="s">
        <v>0</v>
      </c>
      <c r="F21" s="20">
        <v>288891.82199999999</v>
      </c>
      <c r="G21" s="4">
        <v>2042000000</v>
      </c>
    </row>
    <row r="22" spans="2:7" x14ac:dyDescent="0.25">
      <c r="B22" s="2" t="s">
        <v>113</v>
      </c>
      <c r="C22" s="4" t="s">
        <v>68</v>
      </c>
      <c r="D22" s="4">
        <v>111101</v>
      </c>
      <c r="E22" s="4" t="s">
        <v>0</v>
      </c>
      <c r="F22" s="20">
        <v>143500</v>
      </c>
      <c r="G22" s="4">
        <v>2045000000</v>
      </c>
    </row>
    <row r="23" spans="2:7" x14ac:dyDescent="0.25">
      <c r="B23" s="2" t="s">
        <v>114</v>
      </c>
      <c r="C23" s="4" t="s">
        <v>69</v>
      </c>
      <c r="D23" s="4">
        <v>111101</v>
      </c>
      <c r="E23" s="4" t="s">
        <v>0</v>
      </c>
      <c r="F23" s="20">
        <v>1875768.159</v>
      </c>
      <c r="G23" s="4">
        <v>2051210000</v>
      </c>
    </row>
    <row r="24" spans="2:7" x14ac:dyDescent="0.25">
      <c r="B24" s="2" t="s">
        <v>115</v>
      </c>
      <c r="C24" s="4" t="s">
        <v>69</v>
      </c>
      <c r="D24" s="4">
        <v>111101</v>
      </c>
      <c r="E24" s="4" t="s">
        <v>0</v>
      </c>
      <c r="F24" s="20">
        <v>12593.355</v>
      </c>
      <c r="G24" s="4">
        <v>2051260000</v>
      </c>
    </row>
    <row r="25" spans="2:7" x14ac:dyDescent="0.25">
      <c r="B25" s="2" t="s">
        <v>194</v>
      </c>
      <c r="C25" s="4" t="s">
        <v>21</v>
      </c>
      <c r="D25" s="4" t="s">
        <v>19</v>
      </c>
      <c r="E25" s="4" t="s">
        <v>54</v>
      </c>
      <c r="F25" s="20">
        <v>0</v>
      </c>
      <c r="G25" s="4">
        <v>2060441000</v>
      </c>
    </row>
    <row r="26" spans="2:7" x14ac:dyDescent="0.25">
      <c r="B26" s="2" t="s">
        <v>195</v>
      </c>
      <c r="C26" s="4" t="s">
        <v>21</v>
      </c>
      <c r="D26" s="4">
        <v>111111</v>
      </c>
      <c r="E26" s="4" t="s">
        <v>207</v>
      </c>
      <c r="F26" s="20">
        <v>-1252.8369999999998</v>
      </c>
      <c r="G26" s="4">
        <v>2060441000</v>
      </c>
    </row>
    <row r="27" spans="2:7" x14ac:dyDescent="0.25">
      <c r="B27" s="2" t="s">
        <v>116</v>
      </c>
      <c r="C27" s="4" t="s">
        <v>70</v>
      </c>
      <c r="D27" s="4" t="s">
        <v>3</v>
      </c>
      <c r="E27" s="4" t="s">
        <v>39</v>
      </c>
      <c r="F27" s="20">
        <v>-1418521.358</v>
      </c>
      <c r="G27" s="4">
        <v>2069010000</v>
      </c>
    </row>
    <row r="28" spans="2:7" x14ac:dyDescent="0.25">
      <c r="B28" s="2" t="s">
        <v>166</v>
      </c>
      <c r="C28" s="4" t="s">
        <v>70</v>
      </c>
      <c r="D28" s="4">
        <v>19</v>
      </c>
      <c r="E28" s="4" t="s">
        <v>40</v>
      </c>
      <c r="F28" s="20">
        <v>-622966.38600000006</v>
      </c>
      <c r="G28" s="4">
        <v>2069010000</v>
      </c>
    </row>
    <row r="29" spans="2:7" x14ac:dyDescent="0.25">
      <c r="B29" s="2" t="s">
        <v>167</v>
      </c>
      <c r="C29" s="4" t="s">
        <v>70</v>
      </c>
      <c r="D29" s="4" t="s">
        <v>16</v>
      </c>
      <c r="E29" s="4" t="s">
        <v>50</v>
      </c>
      <c r="F29" s="20">
        <v>0</v>
      </c>
      <c r="G29" s="4">
        <v>2069010000</v>
      </c>
    </row>
    <row r="30" spans="2:7" x14ac:dyDescent="0.25">
      <c r="B30" s="2" t="s">
        <v>168</v>
      </c>
      <c r="C30" s="4" t="s">
        <v>70</v>
      </c>
      <c r="D30" s="4" t="s">
        <v>10</v>
      </c>
      <c r="E30" s="4" t="s">
        <v>46</v>
      </c>
      <c r="F30" s="20">
        <v>0</v>
      </c>
      <c r="G30" s="4">
        <v>2069010000</v>
      </c>
    </row>
    <row r="31" spans="2:7" x14ac:dyDescent="0.25">
      <c r="B31" s="2" t="s">
        <v>120</v>
      </c>
      <c r="C31" s="4" t="s">
        <v>70</v>
      </c>
      <c r="D31" s="4">
        <v>1009</v>
      </c>
      <c r="E31" s="4" t="s">
        <v>34</v>
      </c>
      <c r="F31" s="20">
        <v>0</v>
      </c>
      <c r="G31" s="4">
        <v>2069010000</v>
      </c>
    </row>
    <row r="32" spans="2:7" x14ac:dyDescent="0.25">
      <c r="B32" s="2" t="s">
        <v>121</v>
      </c>
      <c r="C32" s="4" t="s">
        <v>70</v>
      </c>
      <c r="D32" s="4">
        <v>1007</v>
      </c>
      <c r="E32" s="4" t="s">
        <v>36</v>
      </c>
      <c r="F32" s="20">
        <v>0</v>
      </c>
      <c r="G32" s="4">
        <v>2069010000</v>
      </c>
    </row>
    <row r="33" spans="2:7" x14ac:dyDescent="0.25">
      <c r="B33" s="2" t="s">
        <v>122</v>
      </c>
      <c r="C33" s="4" t="s">
        <v>70</v>
      </c>
      <c r="D33" s="4">
        <v>1008</v>
      </c>
      <c r="E33" s="4" t="s">
        <v>38</v>
      </c>
      <c r="F33" s="20">
        <v>0</v>
      </c>
      <c r="G33" s="4">
        <v>2069010000</v>
      </c>
    </row>
    <row r="34" spans="2:7" x14ac:dyDescent="0.25">
      <c r="B34" s="2" t="s">
        <v>123</v>
      </c>
      <c r="C34" s="4" t="s">
        <v>70</v>
      </c>
      <c r="D34" s="4">
        <v>1240</v>
      </c>
      <c r="E34" s="4" t="s">
        <v>43</v>
      </c>
      <c r="F34" s="20">
        <v>0</v>
      </c>
      <c r="G34" s="4">
        <v>2069010000</v>
      </c>
    </row>
    <row r="35" spans="2:7" x14ac:dyDescent="0.25">
      <c r="B35" s="2" t="s">
        <v>196</v>
      </c>
      <c r="C35" s="4" t="s">
        <v>70</v>
      </c>
      <c r="D35" s="4">
        <v>1006</v>
      </c>
      <c r="E35" s="4" t="s">
        <v>53</v>
      </c>
      <c r="F35" s="20">
        <v>0</v>
      </c>
      <c r="G35" s="4">
        <v>2069010000</v>
      </c>
    </row>
    <row r="36" spans="2:7" x14ac:dyDescent="0.25">
      <c r="B36" s="2" t="s">
        <v>121</v>
      </c>
      <c r="C36" s="4" t="s">
        <v>70</v>
      </c>
      <c r="D36" s="4">
        <v>1007</v>
      </c>
      <c r="E36" s="4" t="s">
        <v>37</v>
      </c>
      <c r="F36" s="20">
        <v>0</v>
      </c>
      <c r="G36" s="4">
        <v>2069010000</v>
      </c>
    </row>
    <row r="37" spans="2:7" x14ac:dyDescent="0.25">
      <c r="B37" s="2" t="s">
        <v>169</v>
      </c>
      <c r="C37" s="4" t="s">
        <v>70</v>
      </c>
      <c r="D37" s="4" t="s">
        <v>17</v>
      </c>
      <c r="E37" s="4" t="s">
        <v>51</v>
      </c>
      <c r="F37" s="20">
        <v>-1948832.1429999999</v>
      </c>
      <c r="G37" s="4">
        <v>2069010000</v>
      </c>
    </row>
    <row r="38" spans="2:7" x14ac:dyDescent="0.25">
      <c r="B38" s="2" t="s">
        <v>124</v>
      </c>
      <c r="C38" s="4" t="s">
        <v>70</v>
      </c>
      <c r="D38" s="4">
        <v>111111</v>
      </c>
      <c r="E38" s="4" t="s">
        <v>207</v>
      </c>
      <c r="F38" s="20">
        <v>-902857.84299999999</v>
      </c>
      <c r="G38" s="4">
        <v>2069010000</v>
      </c>
    </row>
    <row r="39" spans="2:7" x14ac:dyDescent="0.25">
      <c r="B39" s="2" t="s">
        <v>197</v>
      </c>
      <c r="C39" s="4" t="s">
        <v>26</v>
      </c>
      <c r="D39" s="4">
        <v>111111</v>
      </c>
      <c r="E39" s="4" t="s">
        <v>207</v>
      </c>
      <c r="F39" s="20">
        <v>-61499.999999999993</v>
      </c>
      <c r="G39" s="4">
        <v>2069020000</v>
      </c>
    </row>
    <row r="40" spans="2:7" x14ac:dyDescent="0.25">
      <c r="B40" s="2" t="s">
        <v>198</v>
      </c>
      <c r="C40" s="4" t="s">
        <v>71</v>
      </c>
      <c r="D40" s="4">
        <v>105</v>
      </c>
      <c r="E40" s="4" t="s">
        <v>32</v>
      </c>
      <c r="F40" s="20">
        <v>-30913.425999999996</v>
      </c>
      <c r="G40" s="4">
        <v>2069980000</v>
      </c>
    </row>
    <row r="41" spans="2:7" x14ac:dyDescent="0.25">
      <c r="B41" s="2" t="s">
        <v>125</v>
      </c>
      <c r="C41" s="4" t="s">
        <v>71</v>
      </c>
      <c r="D41" s="4">
        <v>111111</v>
      </c>
      <c r="E41" s="4" t="s">
        <v>207</v>
      </c>
      <c r="F41" s="20">
        <v>-15872.001999999999</v>
      </c>
      <c r="G41" s="4">
        <v>2069980000</v>
      </c>
    </row>
    <row r="42" spans="2:7" x14ac:dyDescent="0.25">
      <c r="B42" s="2" t="s">
        <v>126</v>
      </c>
      <c r="C42" s="4" t="s">
        <v>72</v>
      </c>
      <c r="D42" s="4">
        <v>111111</v>
      </c>
      <c r="E42" s="4" t="s">
        <v>207</v>
      </c>
      <c r="F42" s="20">
        <v>57.317999999999998</v>
      </c>
      <c r="G42" s="4">
        <v>2070400000</v>
      </c>
    </row>
    <row r="43" spans="2:7" x14ac:dyDescent="0.25">
      <c r="B43" s="2" t="s">
        <v>128</v>
      </c>
      <c r="C43" s="4" t="s">
        <v>73</v>
      </c>
      <c r="D43" s="4">
        <v>111111</v>
      </c>
      <c r="E43" s="4" t="s">
        <v>207</v>
      </c>
      <c r="F43" s="20">
        <v>19198.66</v>
      </c>
      <c r="G43" s="4">
        <v>2070500000</v>
      </c>
    </row>
    <row r="44" spans="2:7" x14ac:dyDescent="0.25">
      <c r="B44" s="2" t="s">
        <v>199</v>
      </c>
      <c r="C44" s="4" t="s">
        <v>74</v>
      </c>
      <c r="D44" s="4">
        <v>105</v>
      </c>
      <c r="E44" s="4" t="s">
        <v>32</v>
      </c>
      <c r="F44" s="20">
        <v>-1423120</v>
      </c>
      <c r="G44" s="4">
        <v>2070600000</v>
      </c>
    </row>
    <row r="45" spans="2:7" x14ac:dyDescent="0.25">
      <c r="B45" s="2" t="s">
        <v>129</v>
      </c>
      <c r="C45" s="4" t="s">
        <v>74</v>
      </c>
      <c r="D45" s="4">
        <v>111111</v>
      </c>
      <c r="E45" s="4" t="s">
        <v>207</v>
      </c>
      <c r="F45" s="20">
        <v>-172933.44899999999</v>
      </c>
      <c r="G45" s="4">
        <v>2070600000</v>
      </c>
    </row>
    <row r="46" spans="2:7" x14ac:dyDescent="0.25">
      <c r="B46" s="2" t="s">
        <v>172</v>
      </c>
      <c r="C46" s="4" t="s">
        <v>75</v>
      </c>
      <c r="D46" s="4">
        <v>105</v>
      </c>
      <c r="E46" s="4" t="s">
        <v>32</v>
      </c>
      <c r="F46" s="20">
        <v>473575.46100000001</v>
      </c>
      <c r="G46" s="4">
        <v>2070900000</v>
      </c>
    </row>
    <row r="47" spans="2:7" x14ac:dyDescent="0.25">
      <c r="B47" s="2" t="s">
        <v>132</v>
      </c>
      <c r="C47" s="4" t="s">
        <v>75</v>
      </c>
      <c r="D47" s="4">
        <v>111111</v>
      </c>
      <c r="E47" s="4" t="s">
        <v>207</v>
      </c>
      <c r="F47" s="20">
        <v>1481408.47</v>
      </c>
      <c r="G47" s="4">
        <v>2070900000</v>
      </c>
    </row>
    <row r="48" spans="2:7" x14ac:dyDescent="0.25">
      <c r="B48" s="2" t="s">
        <v>133</v>
      </c>
      <c r="C48" s="4" t="s">
        <v>7</v>
      </c>
      <c r="D48" s="4">
        <v>111111</v>
      </c>
      <c r="E48" s="4" t="s">
        <v>207</v>
      </c>
      <c r="F48" s="20">
        <v>40048.799999999996</v>
      </c>
      <c r="G48" s="4">
        <v>2071000000</v>
      </c>
    </row>
    <row r="49" spans="2:7" x14ac:dyDescent="0.25">
      <c r="B49" s="2" t="s">
        <v>200</v>
      </c>
      <c r="C49" s="4" t="s">
        <v>76</v>
      </c>
      <c r="D49" s="4">
        <v>88</v>
      </c>
      <c r="E49" s="4" t="s">
        <v>31</v>
      </c>
      <c r="F49" s="20">
        <v>584.66</v>
      </c>
      <c r="G49" s="4">
        <v>2071100000</v>
      </c>
    </row>
    <row r="50" spans="2:7" x14ac:dyDescent="0.25">
      <c r="B50" s="2" t="s">
        <v>134</v>
      </c>
      <c r="C50" s="4" t="s">
        <v>76</v>
      </c>
      <c r="D50" s="4">
        <v>111111</v>
      </c>
      <c r="E50" s="4" t="s">
        <v>207</v>
      </c>
      <c r="F50" s="20">
        <v>64039.82699999999</v>
      </c>
      <c r="G50" s="4">
        <v>2071100000</v>
      </c>
    </row>
    <row r="51" spans="2:7" x14ac:dyDescent="0.25">
      <c r="B51" s="2" t="s">
        <v>201</v>
      </c>
      <c r="C51" s="4" t="s">
        <v>27</v>
      </c>
      <c r="D51" s="4">
        <v>111111</v>
      </c>
      <c r="E51" s="4" t="s">
        <v>207</v>
      </c>
      <c r="F51" s="20">
        <v>1352.9999999999998</v>
      </c>
      <c r="G51" s="4">
        <v>2071209100</v>
      </c>
    </row>
    <row r="52" spans="2:7" x14ac:dyDescent="0.25">
      <c r="B52" s="2" t="s">
        <v>135</v>
      </c>
      <c r="C52" s="4" t="s">
        <v>8</v>
      </c>
      <c r="D52" s="4">
        <v>111111</v>
      </c>
      <c r="E52" s="4" t="s">
        <v>207</v>
      </c>
      <c r="F52" s="20">
        <v>2514431.8869999996</v>
      </c>
      <c r="G52" s="4">
        <v>2071209200</v>
      </c>
    </row>
    <row r="53" spans="2:7" x14ac:dyDescent="0.25">
      <c r="B53" s="2" t="s">
        <v>136</v>
      </c>
      <c r="C53" s="4" t="s">
        <v>77</v>
      </c>
      <c r="D53" s="4">
        <v>111111</v>
      </c>
      <c r="E53" s="4" t="s">
        <v>207</v>
      </c>
      <c r="F53" s="20">
        <v>4194.2999999999993</v>
      </c>
      <c r="G53" s="4">
        <v>2071209400</v>
      </c>
    </row>
    <row r="54" spans="2:7" x14ac:dyDescent="0.25">
      <c r="B54" s="2" t="s">
        <v>137</v>
      </c>
      <c r="C54" s="4" t="s">
        <v>78</v>
      </c>
      <c r="D54" s="4">
        <v>111111</v>
      </c>
      <c r="E54" s="4" t="s">
        <v>207</v>
      </c>
      <c r="F54" s="20">
        <v>106525.708</v>
      </c>
      <c r="G54" s="4">
        <v>2071209500</v>
      </c>
    </row>
    <row r="55" spans="2:7" x14ac:dyDescent="0.25">
      <c r="B55" s="2" t="s">
        <v>138</v>
      </c>
      <c r="C55" s="4" t="s">
        <v>79</v>
      </c>
      <c r="D55" s="4">
        <v>111101</v>
      </c>
      <c r="E55" s="4" t="s">
        <v>0</v>
      </c>
      <c r="F55" s="20">
        <v>109811.284</v>
      </c>
      <c r="G55" s="4">
        <v>2071980000</v>
      </c>
    </row>
    <row r="56" spans="2:7" x14ac:dyDescent="0.25">
      <c r="B56" s="2" t="s">
        <v>139</v>
      </c>
      <c r="C56" s="4" t="s">
        <v>80</v>
      </c>
      <c r="D56" s="4">
        <v>111111</v>
      </c>
      <c r="E56" s="4" t="s">
        <v>207</v>
      </c>
      <c r="F56" s="20">
        <v>61111.483999999997</v>
      </c>
      <c r="G56" s="4">
        <v>2079022000</v>
      </c>
    </row>
    <row r="57" spans="2:7" x14ac:dyDescent="0.25">
      <c r="B57" s="2" t="s">
        <v>181</v>
      </c>
      <c r="C57" s="4" t="s">
        <v>81</v>
      </c>
      <c r="D57" s="4" t="s">
        <v>12</v>
      </c>
      <c r="E57" s="4" t="s">
        <v>35</v>
      </c>
      <c r="F57" s="20">
        <v>0</v>
      </c>
      <c r="G57" s="4">
        <v>2079070000</v>
      </c>
    </row>
    <row r="58" spans="2:7" x14ac:dyDescent="0.25">
      <c r="B58" s="2" t="s">
        <v>140</v>
      </c>
      <c r="C58" s="4" t="s">
        <v>81</v>
      </c>
      <c r="D58" s="4">
        <v>105</v>
      </c>
      <c r="E58" s="4" t="s">
        <v>32</v>
      </c>
      <c r="F58" s="20">
        <v>1684415.2999999998</v>
      </c>
      <c r="G58" s="4">
        <v>2079070000</v>
      </c>
    </row>
    <row r="59" spans="2:7" x14ac:dyDescent="0.25">
      <c r="B59" s="2" t="s">
        <v>141</v>
      </c>
      <c r="C59" s="4" t="s">
        <v>81</v>
      </c>
      <c r="D59" s="4">
        <v>111111</v>
      </c>
      <c r="E59" s="4" t="s">
        <v>207</v>
      </c>
      <c r="F59" s="20">
        <v>575626.2649999999</v>
      </c>
      <c r="G59" s="4">
        <v>2079070000</v>
      </c>
    </row>
    <row r="60" spans="2:7" x14ac:dyDescent="0.25">
      <c r="B60" s="2" t="s">
        <v>182</v>
      </c>
      <c r="C60" s="4" t="s">
        <v>82</v>
      </c>
      <c r="D60" s="4" t="s">
        <v>10</v>
      </c>
      <c r="E60" s="4" t="s">
        <v>46</v>
      </c>
      <c r="F60" s="20">
        <v>0</v>
      </c>
      <c r="G60" s="4">
        <v>2079080000</v>
      </c>
    </row>
    <row r="61" spans="2:7" x14ac:dyDescent="0.25">
      <c r="B61" s="2" t="s">
        <v>143</v>
      </c>
      <c r="C61" s="4" t="s">
        <v>82</v>
      </c>
      <c r="D61" s="4">
        <v>1007</v>
      </c>
      <c r="E61" s="4" t="s">
        <v>37</v>
      </c>
      <c r="F61" s="20">
        <v>0</v>
      </c>
      <c r="G61" s="4">
        <v>2079080000</v>
      </c>
    </row>
    <row r="62" spans="2:7" x14ac:dyDescent="0.25">
      <c r="B62" s="2" t="s">
        <v>183</v>
      </c>
      <c r="C62" s="4" t="s">
        <v>83</v>
      </c>
      <c r="D62" s="4" t="s">
        <v>10</v>
      </c>
      <c r="E62" s="4" t="s">
        <v>46</v>
      </c>
      <c r="F62" s="20">
        <v>0</v>
      </c>
      <c r="G62" s="4">
        <v>2082280000</v>
      </c>
    </row>
    <row r="63" spans="2:7" x14ac:dyDescent="0.25">
      <c r="B63" s="2" t="s">
        <v>145</v>
      </c>
      <c r="C63" s="4" t="s">
        <v>83</v>
      </c>
      <c r="D63" s="4">
        <v>1009</v>
      </c>
      <c r="E63" s="4" t="s">
        <v>34</v>
      </c>
      <c r="F63" s="20">
        <v>0</v>
      </c>
      <c r="G63" s="4">
        <v>2082280000</v>
      </c>
    </row>
    <row r="64" spans="2:7" x14ac:dyDescent="0.25">
      <c r="B64" s="2" t="s">
        <v>146</v>
      </c>
      <c r="C64" s="4" t="s">
        <v>83</v>
      </c>
      <c r="D64" s="4">
        <v>1007</v>
      </c>
      <c r="E64" s="4" t="s">
        <v>36</v>
      </c>
      <c r="F64" s="20">
        <v>0</v>
      </c>
      <c r="G64" s="4">
        <v>2082280000</v>
      </c>
    </row>
    <row r="65" spans="2:7" x14ac:dyDescent="0.25">
      <c r="B65" s="2" t="s">
        <v>147</v>
      </c>
      <c r="C65" s="4" t="s">
        <v>83</v>
      </c>
      <c r="D65" s="4">
        <v>1008</v>
      </c>
      <c r="E65" s="4" t="s">
        <v>38</v>
      </c>
      <c r="F65" s="20">
        <v>0</v>
      </c>
      <c r="G65" s="4">
        <v>2082280000</v>
      </c>
    </row>
    <row r="66" spans="2:7" x14ac:dyDescent="0.25">
      <c r="B66" s="2" t="s">
        <v>148</v>
      </c>
      <c r="C66" s="4" t="s">
        <v>83</v>
      </c>
      <c r="D66" s="4">
        <v>1240</v>
      </c>
      <c r="E66" s="4" t="s">
        <v>43</v>
      </c>
      <c r="F66" s="20">
        <v>0</v>
      </c>
      <c r="G66" s="4">
        <v>2082280000</v>
      </c>
    </row>
    <row r="67" spans="2:7" x14ac:dyDescent="0.25">
      <c r="B67" s="2" t="s">
        <v>184</v>
      </c>
      <c r="C67" s="4" t="s">
        <v>83</v>
      </c>
      <c r="D67" s="4">
        <v>1006</v>
      </c>
      <c r="E67" s="4" t="s">
        <v>53</v>
      </c>
      <c r="F67" s="20">
        <v>0</v>
      </c>
      <c r="G67" s="4">
        <v>2082280000</v>
      </c>
    </row>
    <row r="68" spans="2:7" x14ac:dyDescent="0.25">
      <c r="B68" s="2" t="s">
        <v>149</v>
      </c>
      <c r="C68" s="4" t="s">
        <v>83</v>
      </c>
      <c r="D68" s="4">
        <v>111111</v>
      </c>
      <c r="E68" s="4" t="s">
        <v>207</v>
      </c>
      <c r="F68" s="20">
        <v>-73809.511999999988</v>
      </c>
      <c r="G68" s="4">
        <v>2082280000</v>
      </c>
    </row>
    <row r="69" spans="2:7" x14ac:dyDescent="0.25">
      <c r="B69" s="2" t="s">
        <v>151</v>
      </c>
      <c r="C69" s="4" t="s">
        <v>84</v>
      </c>
      <c r="D69" s="4">
        <v>111101</v>
      </c>
      <c r="E69" s="4" t="s">
        <v>0</v>
      </c>
      <c r="F69" s="20">
        <v>7173.195999999999</v>
      </c>
      <c r="G69" s="4">
        <v>2082208200</v>
      </c>
    </row>
    <row r="70" spans="2:7" x14ac:dyDescent="0.25">
      <c r="B70" s="2" t="s">
        <v>152</v>
      </c>
      <c r="C70" s="4" t="s">
        <v>85</v>
      </c>
      <c r="D70" s="4">
        <v>88</v>
      </c>
      <c r="E70" s="4" t="s">
        <v>31</v>
      </c>
      <c r="F70" s="20">
        <v>2324465.8859999999</v>
      </c>
      <c r="G70" s="4">
        <v>2082214000</v>
      </c>
    </row>
    <row r="71" spans="2:7" x14ac:dyDescent="0.25">
      <c r="B71" s="2" t="s">
        <v>185</v>
      </c>
      <c r="C71" s="4" t="s">
        <v>85</v>
      </c>
      <c r="D71" s="4">
        <v>1007</v>
      </c>
      <c r="E71" s="4" t="s">
        <v>37</v>
      </c>
      <c r="F71" s="20">
        <v>0</v>
      </c>
      <c r="G71" s="4">
        <v>2082214000</v>
      </c>
    </row>
    <row r="72" spans="2:7" x14ac:dyDescent="0.25">
      <c r="B72" s="2" t="s">
        <v>186</v>
      </c>
      <c r="C72" s="4" t="s">
        <v>85</v>
      </c>
      <c r="D72" s="4">
        <v>111111</v>
      </c>
      <c r="E72" s="4" t="s">
        <v>207</v>
      </c>
      <c r="F72" s="20">
        <v>51.454999999999998</v>
      </c>
      <c r="G72" s="4">
        <v>2082214000</v>
      </c>
    </row>
    <row r="73" spans="2:7" x14ac:dyDescent="0.25">
      <c r="B73" s="2" t="s">
        <v>202</v>
      </c>
      <c r="C73" s="4" t="s">
        <v>209</v>
      </c>
      <c r="D73" s="4">
        <v>111101</v>
      </c>
      <c r="E73" s="4" t="s">
        <v>0</v>
      </c>
      <c r="F73" s="20">
        <v>0</v>
      </c>
      <c r="G73" s="4">
        <v>2082110000</v>
      </c>
    </row>
    <row r="74" spans="2:7" x14ac:dyDescent="0.25">
      <c r="B74" s="2" t="s">
        <v>153</v>
      </c>
      <c r="C74" s="4" t="s">
        <v>86</v>
      </c>
      <c r="D74" s="4">
        <v>111101</v>
      </c>
      <c r="E74" s="4" t="s">
        <v>0</v>
      </c>
      <c r="F74" s="20">
        <v>2558.1950000000002</v>
      </c>
      <c r="G74" s="4">
        <v>2091200000</v>
      </c>
    </row>
    <row r="75" spans="2:7" x14ac:dyDescent="0.25">
      <c r="B75" s="2" t="s">
        <v>154</v>
      </c>
      <c r="C75" s="4" t="s">
        <v>87</v>
      </c>
      <c r="D75" s="4">
        <v>111101</v>
      </c>
      <c r="E75" s="4" t="s">
        <v>0</v>
      </c>
      <c r="F75" s="20">
        <v>522710.353</v>
      </c>
      <c r="G75" s="4">
        <v>2091200001</v>
      </c>
    </row>
    <row r="76" spans="2:7" x14ac:dyDescent="0.25">
      <c r="B76" s="2" t="s">
        <v>155</v>
      </c>
      <c r="C76" s="4" t="s">
        <v>88</v>
      </c>
      <c r="D76" s="4">
        <v>111101</v>
      </c>
      <c r="E76" s="4" t="s">
        <v>0</v>
      </c>
      <c r="F76" s="20">
        <v>-160303.52199999997</v>
      </c>
      <c r="G76" s="4">
        <v>2092200000</v>
      </c>
    </row>
    <row r="77" spans="2:7" x14ac:dyDescent="0.25">
      <c r="B77" s="2" t="s">
        <v>203</v>
      </c>
      <c r="C77" s="4" t="s">
        <v>28</v>
      </c>
      <c r="D77" s="4">
        <v>111101</v>
      </c>
      <c r="E77" s="4" t="s">
        <v>0</v>
      </c>
      <c r="F77" s="20">
        <v>0</v>
      </c>
      <c r="G77" s="4">
        <v>2111111997</v>
      </c>
    </row>
    <row r="78" spans="2:7" x14ac:dyDescent="0.25">
      <c r="B78" s="18" t="s">
        <v>189</v>
      </c>
      <c r="C78" s="19" t="s">
        <v>61</v>
      </c>
      <c r="D78" s="19">
        <v>111101</v>
      </c>
      <c r="E78" s="19" t="s">
        <v>0</v>
      </c>
      <c r="F78" s="21">
        <f>-1479290.476+700000</f>
        <v>-779290.47600000002</v>
      </c>
      <c r="G78" s="19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40" x14ac:dyDescent="0.8">
      <c r="B12" s="12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I3" sqref="I3"/>
    </sheetView>
  </sheetViews>
  <sheetFormatPr defaultColWidth="9.08984375" defaultRowHeight="11.5" x14ac:dyDescent="0.25"/>
  <cols>
    <col min="1" max="1" width="2" style="2" customWidth="1"/>
    <col min="2" max="2" width="17.36328125" style="2" bestFit="1" customWidth="1"/>
    <col min="3" max="3" width="23.453125" style="2" customWidth="1"/>
    <col min="4" max="4" width="16" style="2" customWidth="1"/>
    <col min="5" max="5" width="22.90625" style="2" customWidth="1"/>
    <col min="6" max="6" width="12.08984375" style="2" customWidth="1"/>
    <col min="7" max="7" width="10.90625" style="2" customWidth="1"/>
    <col min="8" max="8" width="10.6328125" style="2" customWidth="1"/>
    <col min="9" max="9" width="2" style="2" customWidth="1"/>
    <col min="10" max="10" width="22.90625" style="2" bestFit="1" customWidth="1"/>
    <col min="11" max="11" width="9.08984375" style="2"/>
    <col min="12" max="12" width="17.36328125" style="2" bestFit="1" customWidth="1"/>
    <col min="13" max="16384" width="9.08984375" style="2"/>
  </cols>
  <sheetData>
    <row r="1" spans="2:11" ht="15.5" x14ac:dyDescent="0.35">
      <c r="B1" s="3" t="s">
        <v>91</v>
      </c>
    </row>
    <row r="3" spans="2:11" ht="12" thickBot="1" x14ac:dyDescent="0.3">
      <c r="B3" s="14" t="s">
        <v>99</v>
      </c>
      <c r="C3" s="24" t="s">
        <v>204</v>
      </c>
      <c r="D3" s="24" t="s">
        <v>30</v>
      </c>
      <c r="E3" s="24" t="s">
        <v>205</v>
      </c>
      <c r="F3" s="15" t="s">
        <v>247</v>
      </c>
      <c r="G3" s="15" t="s">
        <v>248</v>
      </c>
      <c r="H3" s="15" t="s">
        <v>249</v>
      </c>
      <c r="J3" s="15" t="s">
        <v>223</v>
      </c>
    </row>
    <row r="4" spans="2:11" x14ac:dyDescent="0.25">
      <c r="B4" s="2" t="s">
        <v>101</v>
      </c>
      <c r="C4" s="4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6">
        <f>-SUMIF('1.1 FY2016'!$B:$B,'2.1 Database'!B4,'1.1 FY2016'!$F:$F)</f>
        <v>14500341</v>
      </c>
      <c r="G4" s="16">
        <f>-SUMIF('1.2 FY2017'!$B:$B,'2.1 Database'!B4,'1.2 FY2017'!$F:$F)</f>
        <v>15792898.75</v>
      </c>
      <c r="H4" s="16">
        <f>-SUMIF('1.3 FY2018'!$B:$B,'2.1 Database'!B4,'1.3 FY2018'!$F:$F)</f>
        <v>14431341</v>
      </c>
      <c r="J4" s="31" t="s">
        <v>213</v>
      </c>
      <c r="K4" s="2">
        <f>+COUNTIF('2.2 P&amp;L statement'!$B$4:$B$24,'2.1 Database'!J4)</f>
        <v>1</v>
      </c>
    </row>
    <row r="5" spans="2:11" x14ac:dyDescent="0.25">
      <c r="B5" s="2" t="s">
        <v>102</v>
      </c>
      <c r="C5" s="4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6">
        <f>-SUMIF('1.1 FY2016'!$B:$B,'2.1 Database'!B5,'1.1 FY2016'!$F:$F)</f>
        <v>4794856.1919999998</v>
      </c>
      <c r="G5" s="16">
        <f>-SUMIF('1.2 FY2017'!$B:$B,'2.1 Database'!B5,'1.2 FY2017'!$F:$F)</f>
        <v>6960217.6449999996</v>
      </c>
      <c r="H5" s="16">
        <f>-SUMIF('1.3 FY2018'!$B:$B,'2.1 Database'!B5,'1.3 FY2018'!$F:$F)</f>
        <v>6373617.5140000004</v>
      </c>
      <c r="J5" s="31" t="s">
        <v>63</v>
      </c>
      <c r="K5" s="2">
        <f>+COUNTIF('2.2 P&amp;L statement'!$B$4:$B$24,'2.1 Database'!J5)</f>
        <v>1</v>
      </c>
    </row>
    <row r="6" spans="2:11" x14ac:dyDescent="0.25">
      <c r="B6" s="2" t="s">
        <v>103</v>
      </c>
      <c r="C6" s="4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6">
        <f>-SUMIF('1.1 FY2016'!$B:$B,'2.1 Database'!B6,'1.1 FY2016'!$F:$F)</f>
        <v>154890.4</v>
      </c>
      <c r="G6" s="16">
        <f>-SUMIF('1.2 FY2017'!$B:$B,'2.1 Database'!B6,'1.2 FY2017'!$F:$F)</f>
        <v>0</v>
      </c>
      <c r="H6" s="16">
        <f>-SUMIF('1.3 FY2018'!$B:$B,'2.1 Database'!B6,'1.3 FY2018'!$F:$F)</f>
        <v>0</v>
      </c>
      <c r="J6" s="31" t="s">
        <v>64</v>
      </c>
      <c r="K6" s="2">
        <f>+COUNTIF('2.2 P&amp;L statement'!$B$4:$B$24,'2.1 Database'!J6)</f>
        <v>1</v>
      </c>
    </row>
    <row r="7" spans="2:11" x14ac:dyDescent="0.25">
      <c r="B7" s="2" t="s">
        <v>104</v>
      </c>
      <c r="C7" s="4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6">
        <f>-SUMIF('1.1 FY2016'!$B:$B,'2.1 Database'!B7,'1.1 FY2016'!$F:$F)</f>
        <v>1180894.0520000001</v>
      </c>
      <c r="G7" s="16">
        <f>-SUMIF('1.2 FY2017'!$B:$B,'2.1 Database'!B7,'1.2 FY2017'!$F:$F)</f>
        <v>89234.880000000005</v>
      </c>
      <c r="H7" s="16">
        <f>-SUMIF('1.3 FY2018'!$B:$B,'2.1 Database'!B7,'1.3 FY2018'!$F:$F)</f>
        <v>0</v>
      </c>
      <c r="J7" s="31" t="s">
        <v>64</v>
      </c>
      <c r="K7" s="2">
        <f>+COUNTIF('2.2 P&amp;L statement'!$B$4:$B$24,'2.1 Database'!J7)</f>
        <v>1</v>
      </c>
    </row>
    <row r="8" spans="2:11" x14ac:dyDescent="0.25">
      <c r="B8" s="2" t="s">
        <v>105</v>
      </c>
      <c r="C8" s="4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6">
        <f>-SUMIF('1.1 FY2016'!$B:$B,'2.1 Database'!B8,'1.1 FY2016'!$F:$F)</f>
        <v>793079.51199999999</v>
      </c>
      <c r="G8" s="16">
        <f>-SUMIF('1.2 FY2017'!$B:$B,'2.1 Database'!B8,'1.2 FY2017'!$F:$F)</f>
        <v>26173</v>
      </c>
      <c r="H8" s="16">
        <f>-SUMIF('1.3 FY2018'!$B:$B,'2.1 Database'!B8,'1.3 FY2018'!$F:$F)</f>
        <v>0</v>
      </c>
      <c r="J8" s="31" t="s">
        <v>64</v>
      </c>
      <c r="K8" s="2">
        <f>+COUNTIF('2.2 P&amp;L statement'!$B$4:$B$24,'2.1 Database'!J8)</f>
        <v>1</v>
      </c>
    </row>
    <row r="9" spans="2:11" x14ac:dyDescent="0.25">
      <c r="B9" s="2" t="s">
        <v>106</v>
      </c>
      <c r="C9" s="4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6">
        <f>-SUMIF('1.1 FY2016'!$B:$B,'2.1 Database'!B9,'1.1 FY2016'!$F:$F)</f>
        <v>2277197.6</v>
      </c>
      <c r="G9" s="16">
        <f>-SUMIF('1.2 FY2017'!$B:$B,'2.1 Database'!B9,'1.2 FY2017'!$F:$F)</f>
        <v>209401.92</v>
      </c>
      <c r="H9" s="16">
        <f>-SUMIF('1.3 FY2018'!$B:$B,'2.1 Database'!B9,'1.3 FY2018'!$F:$F)</f>
        <v>0</v>
      </c>
      <c r="J9" s="31" t="s">
        <v>64</v>
      </c>
      <c r="K9" s="2">
        <f>+COUNTIF('2.2 P&amp;L statement'!$B$4:$B$24,'2.1 Database'!J9)</f>
        <v>1</v>
      </c>
    </row>
    <row r="10" spans="2:11" x14ac:dyDescent="0.25">
      <c r="B10" s="2" t="s">
        <v>107</v>
      </c>
      <c r="C10" s="4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6">
        <f>-SUMIF('1.1 FY2016'!$B:$B,'2.1 Database'!B10,'1.1 FY2016'!$F:$F)</f>
        <v>-4428911.7640000004</v>
      </c>
      <c r="G10" s="16">
        <f>-SUMIF('1.2 FY2017'!$B:$B,'2.1 Database'!B10,'1.2 FY2017'!$F:$F)</f>
        <v>-5463188.8250000002</v>
      </c>
      <c r="H10" s="16">
        <f>-SUMIF('1.3 FY2018'!$B:$B,'2.1 Database'!B10,'1.3 FY2018'!$F:$F)</f>
        <v>-5674152.0669999998</v>
      </c>
      <c r="J10" s="31" t="s">
        <v>224</v>
      </c>
      <c r="K10" s="2">
        <f>+COUNTIF('2.2 P&amp;L statement'!$B$4:$B$24,'2.1 Database'!J10)</f>
        <v>1</v>
      </c>
    </row>
    <row r="11" spans="2:11" x14ac:dyDescent="0.25">
      <c r="B11" s="2" t="s">
        <v>108</v>
      </c>
      <c r="C11" s="4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6">
        <f>-SUMIF('1.1 FY2016'!$B:$B,'2.1 Database'!B11,'1.1 FY2016'!$F:$F)</f>
        <v>-16977.628000000001</v>
      </c>
      <c r="G11" s="16">
        <f>-SUMIF('1.2 FY2017'!$B:$B,'2.1 Database'!B11,'1.2 FY2017'!$F:$F)</f>
        <v>-343675</v>
      </c>
      <c r="H11" s="16">
        <f>-SUMIF('1.3 FY2018'!$B:$B,'2.1 Database'!B11,'1.3 FY2018'!$F:$F)</f>
        <v>-350370.99399999995</v>
      </c>
      <c r="J11" s="31" t="s">
        <v>227</v>
      </c>
      <c r="K11" s="2">
        <f>+COUNTIF('2.2 P&amp;L statement'!$B$4:$B$24,'2.1 Database'!J11)</f>
        <v>1</v>
      </c>
    </row>
    <row r="12" spans="2:11" x14ac:dyDescent="0.25">
      <c r="B12" s="2" t="s">
        <v>109</v>
      </c>
      <c r="C12" s="4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6">
        <f>-SUMIF('1.1 FY2016'!$B:$B,'2.1 Database'!B12,'1.1 FY2016'!$F:$F)</f>
        <v>-2245437.54</v>
      </c>
      <c r="G12" s="16">
        <f>-SUMIF('1.2 FY2017'!$B:$B,'2.1 Database'!B12,'1.2 FY2017'!$F:$F)</f>
        <v>-1980162.23</v>
      </c>
      <c r="H12" s="16">
        <f>-SUMIF('1.3 FY2018'!$B:$B,'2.1 Database'!B12,'1.3 FY2018'!$F:$F)</f>
        <v>-3116017.1540000001</v>
      </c>
      <c r="J12" s="31" t="s">
        <v>227</v>
      </c>
      <c r="K12" s="2">
        <f>+COUNTIF('2.2 P&amp;L statement'!$B$4:$B$24,'2.1 Database'!J12)</f>
        <v>1</v>
      </c>
    </row>
    <row r="13" spans="2:11" x14ac:dyDescent="0.25">
      <c r="B13" s="2" t="s">
        <v>110</v>
      </c>
      <c r="C13" s="4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6">
        <f>-SUMIF('1.1 FY2016'!$B:$B,'2.1 Database'!B13,'1.1 FY2016'!$F:$F)</f>
        <v>-16605.634000000002</v>
      </c>
      <c r="G13" s="16">
        <f>-SUMIF('1.2 FY2017'!$B:$B,'2.1 Database'!B13,'1.2 FY2017'!$F:$F)</f>
        <v>-27148.625</v>
      </c>
      <c r="H13" s="16">
        <f>-SUMIF('1.3 FY2018'!$B:$B,'2.1 Database'!B13,'1.3 FY2018'!$F:$F)</f>
        <v>-9783.7069999999985</v>
      </c>
      <c r="J13" s="31" t="s">
        <v>227</v>
      </c>
      <c r="K13" s="2">
        <f>+COUNTIF('2.2 P&amp;L statement'!$B$4:$B$24,'2.1 Database'!J13)</f>
        <v>1</v>
      </c>
    </row>
    <row r="14" spans="2:11" x14ac:dyDescent="0.25">
      <c r="B14" s="2" t="s">
        <v>111</v>
      </c>
      <c r="C14" s="4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6">
        <f>-SUMIF('1.1 FY2016'!$B:$B,'2.1 Database'!B14,'1.1 FY2016'!$F:$F)</f>
        <v>-4683394.0460000001</v>
      </c>
      <c r="G14" s="16">
        <f>-SUMIF('1.2 FY2017'!$B:$B,'2.1 Database'!B14,'1.2 FY2017'!$F:$F)</f>
        <v>-5507141.0549999997</v>
      </c>
      <c r="H14" s="16">
        <f>-SUMIF('1.3 FY2018'!$B:$B,'2.1 Database'!B14,'1.3 FY2018'!$F:$F)</f>
        <v>-3982699.5329999998</v>
      </c>
      <c r="J14" s="31" t="s">
        <v>214</v>
      </c>
      <c r="K14" s="2">
        <f>+COUNTIF('2.2 P&amp;L statement'!$B$4:$B$24,'2.1 Database'!J14)</f>
        <v>1</v>
      </c>
    </row>
    <row r="15" spans="2:11" x14ac:dyDescent="0.25">
      <c r="B15" s="2" t="s">
        <v>112</v>
      </c>
      <c r="C15" s="4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6">
        <f>-SUMIF('1.1 FY2016'!$B:$B,'2.1 Database'!B15,'1.1 FY2016'!$F:$F)</f>
        <v>-1143051.5760000001</v>
      </c>
      <c r="G15" s="16">
        <f>-SUMIF('1.2 FY2017'!$B:$B,'2.1 Database'!B15,'1.2 FY2017'!$F:$F)</f>
        <v>-2057298.04</v>
      </c>
      <c r="H15" s="16">
        <f>-SUMIF('1.3 FY2018'!$B:$B,'2.1 Database'!B15,'1.3 FY2018'!$F:$F)</f>
        <v>-1709688.6429999997</v>
      </c>
      <c r="J15" s="31" t="s">
        <v>214</v>
      </c>
      <c r="K15" s="2">
        <f>+COUNTIF('2.2 P&amp;L statement'!$B$4:$B$24,'2.1 Database'!J15)</f>
        <v>1</v>
      </c>
    </row>
    <row r="16" spans="2:11" x14ac:dyDescent="0.25">
      <c r="B16" s="2" t="s">
        <v>212</v>
      </c>
      <c r="C16" s="4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6">
        <f>-SUMIF('1.1 FY2016'!$B:$B,'2.1 Database'!B16,'1.1 FY2016'!$F:$F)</f>
        <v>-239379.61800000002</v>
      </c>
      <c r="G16" s="16">
        <f>-SUMIF('1.2 FY2017'!$B:$B,'2.1 Database'!B16,'1.2 FY2017'!$F:$F)</f>
        <v>0</v>
      </c>
      <c r="H16" s="16">
        <f>-SUMIF('1.3 FY2018'!$B:$B,'2.1 Database'!B16,'1.3 FY2018'!$F:$F)</f>
        <v>0</v>
      </c>
      <c r="J16" s="31" t="s">
        <v>214</v>
      </c>
      <c r="K16" s="2">
        <f>+COUNTIF('2.2 P&amp;L statement'!$B$4:$B$24,'2.1 Database'!J16)</f>
        <v>1</v>
      </c>
    </row>
    <row r="17" spans="2:11" x14ac:dyDescent="0.25">
      <c r="B17" s="2" t="s">
        <v>113</v>
      </c>
      <c r="C17" s="4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6">
        <f>-SUMIF('1.1 FY2016'!$B:$B,'2.1 Database'!B17,'1.1 FY2016'!$F:$F)</f>
        <v>-104913.8</v>
      </c>
      <c r="G17" s="16">
        <f>-SUMIF('1.2 FY2017'!$B:$B,'2.1 Database'!B17,'1.2 FY2017'!$F:$F)</f>
        <v>-500500</v>
      </c>
      <c r="H17" s="16">
        <f>-SUMIF('1.3 FY2018'!$B:$B,'2.1 Database'!B17,'1.3 FY2018'!$F:$F)</f>
        <v>-143500</v>
      </c>
      <c r="J17" s="31" t="s">
        <v>214</v>
      </c>
      <c r="K17" s="2">
        <f>+COUNTIF('2.2 P&amp;L statement'!$B$4:$B$24,'2.1 Database'!J17)</f>
        <v>1</v>
      </c>
    </row>
    <row r="18" spans="2:11" x14ac:dyDescent="0.25">
      <c r="B18" s="2" t="s">
        <v>114</v>
      </c>
      <c r="C18" s="4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6">
        <f>-SUMIF('1.1 FY2016'!$B:$B,'2.1 Database'!B18,'1.1 FY2016'!$F:$F)</f>
        <v>-2003262.2180000001</v>
      </c>
      <c r="G18" s="16">
        <f>-SUMIF('1.2 FY2017'!$B:$B,'2.1 Database'!B18,'1.2 FY2017'!$F:$F)</f>
        <v>-1897676.87</v>
      </c>
      <c r="H18" s="16">
        <f>-SUMIF('1.3 FY2018'!$B:$B,'2.1 Database'!B18,'1.3 FY2018'!$F:$F)</f>
        <v>-1875768.159</v>
      </c>
      <c r="J18" s="31" t="s">
        <v>69</v>
      </c>
      <c r="K18" s="2">
        <f>+COUNTIF('2.2 P&amp;L statement'!$B$4:$B$24,'2.1 Database'!J18)</f>
        <v>1</v>
      </c>
    </row>
    <row r="19" spans="2:11" x14ac:dyDescent="0.25">
      <c r="B19" s="2" t="s">
        <v>115</v>
      </c>
      <c r="C19" s="4" t="str">
        <f>+VLOOKUP($B19,'1.1 FY2016'!$B$5:$E$61,2,FALSE)</f>
        <v>D&amp;A</v>
      </c>
      <c r="D19" s="4">
        <f>+VLOOKUP($B19,'1.1 FY2016'!$B$5:$E$61,3,FALSE)</f>
        <v>111101</v>
      </c>
      <c r="E19" s="4" t="str">
        <f>+VLOOKUP($B19,'1.1 FY2016'!$B$5:$E$61,4,FALSE)</f>
        <v>Not assigned</v>
      </c>
      <c r="F19" s="16">
        <f>-SUMIF('1.1 FY2016'!$B:$B,'2.1 Database'!B19,'1.1 FY2016'!$F:$F)</f>
        <v>-41981.296000000002</v>
      </c>
      <c r="G19" s="16">
        <f>-SUMIF('1.2 FY2017'!$B:$B,'2.1 Database'!B19,'1.2 FY2017'!$F:$F)</f>
        <v>-146328.94499999998</v>
      </c>
      <c r="H19" s="16">
        <f>-SUMIF('1.3 FY2018'!$B:$B,'2.1 Database'!B19,'1.3 FY2018'!$F:$F)</f>
        <v>-12593.355</v>
      </c>
      <c r="J19" s="31" t="s">
        <v>69</v>
      </c>
      <c r="K19" s="2">
        <f>+COUNTIF('2.2 P&amp;L statement'!$B$4:$B$24,'2.1 Database'!J19)</f>
        <v>1</v>
      </c>
    </row>
    <row r="20" spans="2:11" x14ac:dyDescent="0.25">
      <c r="B20" s="2" t="s">
        <v>116</v>
      </c>
      <c r="C20" s="4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6">
        <f>-SUMIF('1.1 FY2016'!$B:$B,'2.1 Database'!B20,'1.1 FY2016'!$F:$F)</f>
        <v>2156147.4</v>
      </c>
      <c r="G20" s="16">
        <f>-SUMIF('1.2 FY2017'!$B:$B,'2.1 Database'!B20,'1.2 FY2017'!$F:$F)</f>
        <v>1643711.145</v>
      </c>
      <c r="H20" s="16">
        <f>-SUMIF('1.3 FY2018'!$B:$B,'2.1 Database'!B20,'1.3 FY2018'!$F:$F)</f>
        <v>1418521.358</v>
      </c>
      <c r="J20" s="31" t="s">
        <v>215</v>
      </c>
      <c r="K20" s="2">
        <f>+COUNTIF('2.2 P&amp;L statement'!$B$4:$B$24,'2.1 Database'!J20)</f>
        <v>1</v>
      </c>
    </row>
    <row r="21" spans="2:11" x14ac:dyDescent="0.25">
      <c r="B21" s="2" t="s">
        <v>117</v>
      </c>
      <c r="C21" s="4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6">
        <f>-SUMIF('1.1 FY2016'!$B:$B,'2.1 Database'!B21,'1.1 FY2016'!$F:$F)</f>
        <v>291428.55199999997</v>
      </c>
      <c r="G21" s="16">
        <f>-SUMIF('1.2 FY2017'!$B:$B,'2.1 Database'!B21,'1.2 FY2017'!$F:$F)</f>
        <v>0</v>
      </c>
      <c r="H21" s="16">
        <f>-SUMIF('1.3 FY2018'!$B:$B,'2.1 Database'!B21,'1.3 FY2018'!$F:$F)</f>
        <v>0</v>
      </c>
      <c r="J21" s="31" t="s">
        <v>215</v>
      </c>
      <c r="K21" s="2">
        <f>+COUNTIF('2.2 P&amp;L statement'!$B$4:$B$24,'2.1 Database'!J21)</f>
        <v>1</v>
      </c>
    </row>
    <row r="22" spans="2:11" x14ac:dyDescent="0.25">
      <c r="B22" s="2" t="s">
        <v>118</v>
      </c>
      <c r="C22" s="4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6">
        <f>-SUMIF('1.1 FY2016'!$B:$B,'2.1 Database'!B22,'1.1 FY2016'!$F:$F)</f>
        <v>0</v>
      </c>
      <c r="G22" s="16">
        <f>-SUMIF('1.2 FY2017'!$B:$B,'2.1 Database'!B22,'1.2 FY2017'!$F:$F)</f>
        <v>0</v>
      </c>
      <c r="H22" s="16">
        <f>-SUMIF('1.3 FY2018'!$B:$B,'2.1 Database'!B22,'1.3 FY2018'!$F:$F)</f>
        <v>0</v>
      </c>
      <c r="J22" s="31" t="s">
        <v>215</v>
      </c>
      <c r="K22" s="2">
        <f>+COUNTIF('2.2 P&amp;L statement'!$B$4:$B$24,'2.1 Database'!J22)</f>
        <v>1</v>
      </c>
    </row>
    <row r="23" spans="2:11" x14ac:dyDescent="0.25">
      <c r="B23" s="2" t="s">
        <v>119</v>
      </c>
      <c r="C23" s="4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6">
        <f>-SUMIF('1.1 FY2016'!$B:$B,'2.1 Database'!B23,'1.1 FY2016'!$F:$F)</f>
        <v>33736.5</v>
      </c>
      <c r="G23" s="16">
        <f>-SUMIF('1.2 FY2017'!$B:$B,'2.1 Database'!B23,'1.2 FY2017'!$F:$F)</f>
        <v>0</v>
      </c>
      <c r="H23" s="16">
        <f>-SUMIF('1.3 FY2018'!$B:$B,'2.1 Database'!B23,'1.3 FY2018'!$F:$F)</f>
        <v>0</v>
      </c>
      <c r="J23" s="31" t="s">
        <v>215</v>
      </c>
      <c r="K23" s="2">
        <f>+COUNTIF('2.2 P&amp;L statement'!$B$4:$B$24,'2.1 Database'!J23)</f>
        <v>1</v>
      </c>
    </row>
    <row r="24" spans="2:11" x14ac:dyDescent="0.25">
      <c r="B24" s="2" t="s">
        <v>120</v>
      </c>
      <c r="C24" s="4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6">
        <f>-SUMIF('1.1 FY2016'!$B:$B,'2.1 Database'!B24,'1.1 FY2016'!$F:$F)</f>
        <v>0</v>
      </c>
      <c r="G24" s="16">
        <f>-SUMIF('1.2 FY2017'!$B:$B,'2.1 Database'!B24,'1.2 FY2017'!$F:$F)</f>
        <v>0</v>
      </c>
      <c r="H24" s="16">
        <f>-SUMIF('1.3 FY2018'!$B:$B,'2.1 Database'!B24,'1.3 FY2018'!$F:$F)</f>
        <v>0</v>
      </c>
      <c r="J24" s="31" t="s">
        <v>215</v>
      </c>
      <c r="K24" s="2">
        <f>+COUNTIF('2.2 P&amp;L statement'!$B$4:$B$24,'2.1 Database'!J24)</f>
        <v>1</v>
      </c>
    </row>
    <row r="25" spans="2:11" x14ac:dyDescent="0.25">
      <c r="B25" s="2" t="s">
        <v>121</v>
      </c>
      <c r="C25" s="4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6">
        <f>-SUMIF('1.1 FY2016'!$B:$B,'2.1 Database'!B25,'1.1 FY2016'!$F:$F)</f>
        <v>0</v>
      </c>
      <c r="G25" s="16">
        <f>-SUMIF('1.2 FY2017'!$B:$B,'2.1 Database'!B25,'1.2 FY2017'!$F:$F)</f>
        <v>0</v>
      </c>
      <c r="H25" s="16">
        <f>-SUMIF('1.3 FY2018'!$B:$B,'2.1 Database'!B25,'1.3 FY2018'!$F:$F)</f>
        <v>0</v>
      </c>
      <c r="J25" s="31" t="s">
        <v>215</v>
      </c>
      <c r="K25" s="2">
        <f>+COUNTIF('2.2 P&amp;L statement'!$B$4:$B$24,'2.1 Database'!J25)</f>
        <v>1</v>
      </c>
    </row>
    <row r="26" spans="2:11" x14ac:dyDescent="0.25">
      <c r="B26" s="2" t="s">
        <v>122</v>
      </c>
      <c r="C26" s="4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6">
        <f>-SUMIF('1.1 FY2016'!$B:$B,'2.1 Database'!B26,'1.1 FY2016'!$F:$F)</f>
        <v>0</v>
      </c>
      <c r="G26" s="16">
        <f>-SUMIF('1.2 FY2017'!$B:$B,'2.1 Database'!B26,'1.2 FY2017'!$F:$F)</f>
        <v>0</v>
      </c>
      <c r="H26" s="16">
        <f>-SUMIF('1.3 FY2018'!$B:$B,'2.1 Database'!B26,'1.3 FY2018'!$F:$F)</f>
        <v>0</v>
      </c>
      <c r="J26" s="31" t="s">
        <v>215</v>
      </c>
      <c r="K26" s="2">
        <f>+COUNTIF('2.2 P&amp;L statement'!$B$4:$B$24,'2.1 Database'!J26)</f>
        <v>1</v>
      </c>
    </row>
    <row r="27" spans="2:11" x14ac:dyDescent="0.25">
      <c r="B27" s="2" t="s">
        <v>123</v>
      </c>
      <c r="C27" s="4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6">
        <f>-SUMIF('1.1 FY2016'!$B:$B,'2.1 Database'!B27,'1.1 FY2016'!$F:$F)</f>
        <v>199600.4</v>
      </c>
      <c r="G27" s="16">
        <f>-SUMIF('1.2 FY2017'!$B:$B,'2.1 Database'!B27,'1.2 FY2017'!$F:$F)</f>
        <v>10461.36</v>
      </c>
      <c r="H27" s="16">
        <f>-SUMIF('1.3 FY2018'!$B:$B,'2.1 Database'!B27,'1.3 FY2018'!$F:$F)</f>
        <v>0</v>
      </c>
      <c r="J27" s="31" t="s">
        <v>215</v>
      </c>
      <c r="K27" s="2">
        <f>+COUNTIF('2.2 P&amp;L statement'!$B$4:$B$24,'2.1 Database'!J27)</f>
        <v>1</v>
      </c>
    </row>
    <row r="28" spans="2:11" x14ac:dyDescent="0.25">
      <c r="B28" s="2" t="s">
        <v>124</v>
      </c>
      <c r="C28" s="4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6">
        <f>-SUMIF('1.1 FY2016'!$B:$B,'2.1 Database'!B28,'1.1 FY2016'!$F:$F)</f>
        <v>539141.4</v>
      </c>
      <c r="G28" s="16">
        <f>-SUMIF('1.2 FY2017'!$B:$B,'2.1 Database'!B28,'1.2 FY2017'!$F:$F)</f>
        <v>6785.94</v>
      </c>
      <c r="H28" s="16">
        <f>-SUMIF('1.3 FY2018'!$B:$B,'2.1 Database'!B28,'1.3 FY2018'!$F:$F)</f>
        <v>902857.84299999999</v>
      </c>
      <c r="J28" s="38" t="s">
        <v>215</v>
      </c>
      <c r="K28" s="2">
        <f>+COUNTIF('2.2 P&amp;L statement'!$B$4:$B$24,'2.1 Database'!J28)</f>
        <v>1</v>
      </c>
    </row>
    <row r="29" spans="2:11" x14ac:dyDescent="0.25">
      <c r="B29" s="2" t="s">
        <v>125</v>
      </c>
      <c r="C29" s="4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6">
        <f>-SUMIF('1.1 FY2016'!$B:$B,'2.1 Database'!B29,'1.1 FY2016'!$F:$F)</f>
        <v>57.221999999999994</v>
      </c>
      <c r="G29" s="16">
        <f>-SUMIF('1.2 FY2017'!$B:$B,'2.1 Database'!B29,'1.2 FY2017'!$F:$F)</f>
        <v>-9793.84</v>
      </c>
      <c r="H29" s="16">
        <f>-SUMIF('1.3 FY2018'!$B:$B,'2.1 Database'!B29,'1.3 FY2018'!$F:$F)</f>
        <v>15872.001999999999</v>
      </c>
      <c r="J29" s="31" t="s">
        <v>71</v>
      </c>
      <c r="K29" s="2">
        <f>+COUNTIF('2.2 P&amp;L statement'!$B$4:$B$24,'2.1 Database'!J29)</f>
        <v>1</v>
      </c>
    </row>
    <row r="30" spans="2:11" x14ac:dyDescent="0.25">
      <c r="B30" s="2" t="s">
        <v>126</v>
      </c>
      <c r="C30" s="4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6">
        <f>-SUMIF('1.1 FY2016'!$B:$B,'2.1 Database'!B30,'1.1 FY2016'!$F:$F)</f>
        <v>-22314.879999999997</v>
      </c>
      <c r="G30" s="16">
        <f>-SUMIF('1.2 FY2017'!$B:$B,'2.1 Database'!B30,'1.2 FY2017'!$F:$F)</f>
        <v>-65947.7</v>
      </c>
      <c r="H30" s="16">
        <f>-SUMIF('1.3 FY2018'!$B:$B,'2.1 Database'!B30,'1.3 FY2018'!$F:$F)</f>
        <v>-57.317999999999998</v>
      </c>
      <c r="J30" s="31" t="s">
        <v>227</v>
      </c>
      <c r="K30" s="2">
        <f>+COUNTIF('2.2 P&amp;L statement'!$B$4:$B$24,'2.1 Database'!J30)</f>
        <v>1</v>
      </c>
    </row>
    <row r="31" spans="2:11" x14ac:dyDescent="0.25">
      <c r="B31" s="2" t="s">
        <v>127</v>
      </c>
      <c r="C31" s="4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6">
        <f>-SUMIF('1.1 FY2016'!$B:$B,'2.1 Database'!B31,'1.1 FY2016'!$F:$F)</f>
        <v>-204000</v>
      </c>
      <c r="G31" s="16">
        <f>-SUMIF('1.2 FY2017'!$B:$B,'2.1 Database'!B31,'1.2 FY2017'!$F:$F)</f>
        <v>0</v>
      </c>
      <c r="H31" s="16">
        <f>-SUMIF('1.3 FY2018'!$B:$B,'2.1 Database'!B31,'1.3 FY2018'!$F:$F)</f>
        <v>0</v>
      </c>
      <c r="J31" s="31" t="s">
        <v>227</v>
      </c>
      <c r="K31" s="2">
        <f>+COUNTIF('2.2 P&amp;L statement'!$B$4:$B$24,'2.1 Database'!J31)</f>
        <v>1</v>
      </c>
    </row>
    <row r="32" spans="2:11" x14ac:dyDescent="0.25">
      <c r="B32" s="2" t="s">
        <v>128</v>
      </c>
      <c r="C32" s="4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6">
        <f>-SUMIF('1.1 FY2016'!$B:$B,'2.1 Database'!B32,'1.1 FY2016'!$F:$F)</f>
        <v>-138.41399999999999</v>
      </c>
      <c r="G32" s="16">
        <f>-SUMIF('1.2 FY2017'!$B:$B,'2.1 Database'!B32,'1.2 FY2017'!$F:$F)</f>
        <v>-5138.91</v>
      </c>
      <c r="H32" s="16">
        <f>-SUMIF('1.3 FY2018'!$B:$B,'2.1 Database'!B32,'1.3 FY2018'!$F:$F)</f>
        <v>-19198.66</v>
      </c>
      <c r="J32" s="31" t="s">
        <v>227</v>
      </c>
      <c r="K32" s="2">
        <f>+COUNTIF('2.2 P&amp;L statement'!$B$4:$B$24,'2.1 Database'!J32)</f>
        <v>1</v>
      </c>
    </row>
    <row r="33" spans="2:11" x14ac:dyDescent="0.25">
      <c r="B33" s="2" t="s">
        <v>129</v>
      </c>
      <c r="C33" s="4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6">
        <f>-SUMIF('1.1 FY2016'!$B:$B,'2.1 Database'!B33,'1.1 FY2016'!$F:$F)</f>
        <v>-1127445.872</v>
      </c>
      <c r="G33" s="16">
        <f>-SUMIF('1.2 FY2017'!$B:$B,'2.1 Database'!B33,'1.2 FY2017'!$F:$F)</f>
        <v>-1055381.4750000001</v>
      </c>
      <c r="H33" s="16">
        <f>-SUMIF('1.3 FY2018'!$B:$B,'2.1 Database'!B33,'1.3 FY2018'!$F:$F)</f>
        <v>172933.44899999999</v>
      </c>
      <c r="J33" s="31" t="s">
        <v>216</v>
      </c>
      <c r="K33" s="2">
        <f>+COUNTIF('2.2 P&amp;L statement'!$B$4:$B$24,'2.1 Database'!J33)</f>
        <v>1</v>
      </c>
    </row>
    <row r="34" spans="2:11" x14ac:dyDescent="0.25">
      <c r="B34" s="2" t="s">
        <v>130</v>
      </c>
      <c r="C34" s="4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6">
        <f>-SUMIF('1.1 FY2016'!$B:$B,'2.1 Database'!B34,'1.1 FY2016'!$F:$F)</f>
        <v>-133722</v>
      </c>
      <c r="G34" s="16">
        <f>-SUMIF('1.2 FY2017'!$B:$B,'2.1 Database'!B34,'1.2 FY2017'!$F:$F)</f>
        <v>0</v>
      </c>
      <c r="H34" s="16">
        <f>-SUMIF('1.3 FY2018'!$B:$B,'2.1 Database'!B34,'1.3 FY2018'!$F:$F)</f>
        <v>0</v>
      </c>
      <c r="J34" s="31" t="s">
        <v>217</v>
      </c>
      <c r="K34" s="2">
        <f>+COUNTIF('2.2 P&amp;L statement'!$B$4:$B$24,'2.1 Database'!J34)</f>
        <v>1</v>
      </c>
    </row>
    <row r="35" spans="2:11" x14ac:dyDescent="0.25">
      <c r="B35" s="2" t="s">
        <v>131</v>
      </c>
      <c r="C35" s="4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6">
        <f>-SUMIF('1.1 FY2016'!$B:$B,'2.1 Database'!B35,'1.1 FY2016'!$F:$F)</f>
        <v>-328061.886</v>
      </c>
      <c r="G35" s="16">
        <f>-SUMIF('1.2 FY2017'!$B:$B,'2.1 Database'!B35,'1.2 FY2017'!$F:$F)</f>
        <v>-430845.34499999997</v>
      </c>
      <c r="H35" s="16">
        <f>-SUMIF('1.3 FY2018'!$B:$B,'2.1 Database'!B35,'1.3 FY2018'!$F:$F)</f>
        <v>0</v>
      </c>
      <c r="J35" s="31" t="s">
        <v>217</v>
      </c>
      <c r="K35" s="2">
        <f>+COUNTIF('2.2 P&amp;L statement'!$B$4:$B$24,'2.1 Database'!J35)</f>
        <v>1</v>
      </c>
    </row>
    <row r="36" spans="2:11" x14ac:dyDescent="0.25">
      <c r="B36" s="2" t="s">
        <v>132</v>
      </c>
      <c r="C36" s="4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6">
        <f>-SUMIF('1.1 FY2016'!$B:$B,'2.1 Database'!B36,'1.1 FY2016'!$F:$F)</f>
        <v>-2081304.3219999997</v>
      </c>
      <c r="G36" s="16">
        <f>-SUMIF('1.2 FY2017'!$B:$B,'2.1 Database'!B36,'1.2 FY2017'!$F:$F)</f>
        <v>-1130021</v>
      </c>
      <c r="H36" s="16">
        <f>-SUMIF('1.3 FY2018'!$B:$B,'2.1 Database'!B36,'1.3 FY2018'!$F:$F)</f>
        <v>-1481408.47</v>
      </c>
      <c r="J36" s="31" t="s">
        <v>217</v>
      </c>
      <c r="K36" s="2">
        <f>+COUNTIF('2.2 P&amp;L statement'!$B$4:$B$24,'2.1 Database'!J36)</f>
        <v>1</v>
      </c>
    </row>
    <row r="37" spans="2:11" x14ac:dyDescent="0.25">
      <c r="B37" s="2" t="s">
        <v>133</v>
      </c>
      <c r="C37" s="4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6">
        <f>-SUMIF('1.1 FY2016'!$B:$B,'2.1 Database'!B37,'1.1 FY2016'!$F:$F)</f>
        <v>-33410.031999999999</v>
      </c>
      <c r="G37" s="16">
        <f>-SUMIF('1.2 FY2017'!$B:$B,'2.1 Database'!B37,'1.2 FY2017'!$F:$F)</f>
        <v>-7293.5450000000001</v>
      </c>
      <c r="H37" s="16">
        <f>-SUMIF('1.3 FY2018'!$B:$B,'2.1 Database'!B37,'1.3 FY2018'!$F:$F)</f>
        <v>-40048.799999999996</v>
      </c>
      <c r="J37" s="31" t="s">
        <v>227</v>
      </c>
      <c r="K37" s="2">
        <f>+COUNTIF('2.2 P&amp;L statement'!$B$4:$B$24,'2.1 Database'!J37)</f>
        <v>1</v>
      </c>
    </row>
    <row r="38" spans="2:11" x14ac:dyDescent="0.25">
      <c r="B38" s="2" t="s">
        <v>134</v>
      </c>
      <c r="C38" s="4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6">
        <f>-SUMIF('1.1 FY2016'!$B:$B,'2.1 Database'!B38,'1.1 FY2016'!$F:$F)</f>
        <v>-213090.85199999998</v>
      </c>
      <c r="G38" s="16">
        <f>-SUMIF('1.2 FY2017'!$B:$B,'2.1 Database'!B38,'1.2 FY2017'!$F:$F)</f>
        <v>-48468.665000000001</v>
      </c>
      <c r="H38" s="16">
        <f>-SUMIF('1.3 FY2018'!$B:$B,'2.1 Database'!B38,'1.3 FY2018'!$F:$F)</f>
        <v>-64039.82699999999</v>
      </c>
      <c r="J38" s="31" t="s">
        <v>227</v>
      </c>
      <c r="K38" s="2">
        <f>+COUNTIF('2.2 P&amp;L statement'!$B$4:$B$24,'2.1 Database'!J38)</f>
        <v>1</v>
      </c>
    </row>
    <row r="39" spans="2:11" x14ac:dyDescent="0.25">
      <c r="B39" s="2" t="s">
        <v>135</v>
      </c>
      <c r="C39" s="4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6">
        <f>-SUMIF('1.1 FY2016'!$B:$B,'2.1 Database'!B39,'1.1 FY2016'!$F:$F)</f>
        <v>-1813525.004</v>
      </c>
      <c r="G39" s="16">
        <f>-SUMIF('1.2 FY2017'!$B:$B,'2.1 Database'!B39,'1.2 FY2017'!$F:$F)</f>
        <v>-2393259.19</v>
      </c>
      <c r="H39" s="16">
        <f>-SUMIF('1.3 FY2018'!$B:$B,'2.1 Database'!B39,'1.3 FY2018'!$F:$F)</f>
        <v>-2514431.8869999996</v>
      </c>
      <c r="J39" s="31" t="s">
        <v>218</v>
      </c>
      <c r="K39" s="2">
        <f>+COUNTIF('2.2 P&amp;L statement'!$B$4:$B$24,'2.1 Database'!J39)</f>
        <v>1</v>
      </c>
    </row>
    <row r="40" spans="2:11" x14ac:dyDescent="0.25">
      <c r="B40" s="2" t="s">
        <v>136</v>
      </c>
      <c r="C40" s="4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6">
        <f>-SUMIF('1.1 FY2016'!$B:$B,'2.1 Database'!B40,'1.1 FY2016'!$F:$F)</f>
        <v>-5552.2</v>
      </c>
      <c r="G40" s="16">
        <f>-SUMIF('1.2 FY2017'!$B:$B,'2.1 Database'!B40,'1.2 FY2017'!$F:$F)</f>
        <v>-23069.654999999999</v>
      </c>
      <c r="H40" s="16">
        <f>-SUMIF('1.3 FY2018'!$B:$B,'2.1 Database'!B40,'1.3 FY2018'!$F:$F)</f>
        <v>-4194.2999999999993</v>
      </c>
      <c r="J40" s="31" t="s">
        <v>227</v>
      </c>
      <c r="K40" s="2">
        <f>+COUNTIF('2.2 P&amp;L statement'!$B$4:$B$24,'2.1 Database'!J40)</f>
        <v>1</v>
      </c>
    </row>
    <row r="41" spans="2:11" x14ac:dyDescent="0.25">
      <c r="B41" s="2" t="s">
        <v>137</v>
      </c>
      <c r="C41" s="4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6">
        <f>-SUMIF('1.1 FY2016'!$B:$B,'2.1 Database'!B41,'1.1 FY2016'!$F:$F)</f>
        <v>-43868.975999999995</v>
      </c>
      <c r="G41" s="16">
        <f>-SUMIF('1.2 FY2017'!$B:$B,'2.1 Database'!B41,'1.2 FY2017'!$F:$F)</f>
        <v>-208366.935</v>
      </c>
      <c r="H41" s="16">
        <f>-SUMIF('1.3 FY2018'!$B:$B,'2.1 Database'!B41,'1.3 FY2018'!$F:$F)</f>
        <v>-106525.708</v>
      </c>
      <c r="J41" s="31" t="s">
        <v>227</v>
      </c>
      <c r="K41" s="2">
        <f>+COUNTIF('2.2 P&amp;L statement'!$B$4:$B$24,'2.1 Database'!J41)</f>
        <v>1</v>
      </c>
    </row>
    <row r="42" spans="2:11" x14ac:dyDescent="0.25">
      <c r="B42" s="2" t="s">
        <v>138</v>
      </c>
      <c r="C42" s="4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6">
        <f>-SUMIF('1.1 FY2016'!$B:$B,'2.1 Database'!B42,'1.1 FY2016'!$F:$F)</f>
        <v>-10934.671999999999</v>
      </c>
      <c r="G42" s="16">
        <f>-SUMIF('1.2 FY2017'!$B:$B,'2.1 Database'!B42,'1.2 FY2017'!$F:$F)</f>
        <v>-20323.309999999998</v>
      </c>
      <c r="H42" s="16">
        <f>-SUMIF('1.3 FY2018'!$B:$B,'2.1 Database'!B42,'1.3 FY2018'!$F:$F)</f>
        <v>-109811.284</v>
      </c>
      <c r="J42" s="31" t="s">
        <v>227</v>
      </c>
      <c r="K42" s="2">
        <f>+COUNTIF('2.2 P&amp;L statement'!$B$4:$B$24,'2.1 Database'!J42)</f>
        <v>1</v>
      </c>
    </row>
    <row r="43" spans="2:11" x14ac:dyDescent="0.25">
      <c r="B43" s="2" t="s">
        <v>139</v>
      </c>
      <c r="C43" s="4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6">
        <f>-SUMIF('1.1 FY2016'!$B:$B,'2.1 Database'!B43,'1.1 FY2016'!$F:$F)</f>
        <v>-20400</v>
      </c>
      <c r="G43" s="16">
        <f>-SUMIF('1.2 FY2017'!$B:$B,'2.1 Database'!B43,'1.2 FY2017'!$F:$F)</f>
        <v>-169489</v>
      </c>
      <c r="H43" s="16">
        <f>-SUMIF('1.3 FY2018'!$B:$B,'2.1 Database'!B43,'1.3 FY2018'!$F:$F)</f>
        <v>-61111.483999999997</v>
      </c>
      <c r="J43" s="31" t="s">
        <v>227</v>
      </c>
      <c r="K43" s="2">
        <f>+COUNTIF('2.2 P&amp;L statement'!$B$4:$B$24,'2.1 Database'!J43)</f>
        <v>1</v>
      </c>
    </row>
    <row r="44" spans="2:11" x14ac:dyDescent="0.25">
      <c r="B44" s="2" t="s">
        <v>140</v>
      </c>
      <c r="C44" s="4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6">
        <f>-SUMIF('1.1 FY2016'!$B:$B,'2.1 Database'!B44,'1.1 FY2016'!$F:$F)</f>
        <v>0</v>
      </c>
      <c r="G44" s="16">
        <f>-SUMIF('1.2 FY2017'!$B:$B,'2.1 Database'!B44,'1.2 FY2017'!$F:$F)</f>
        <v>0</v>
      </c>
      <c r="H44" s="16">
        <f>-SUMIF('1.3 FY2018'!$B:$B,'2.1 Database'!B44,'1.3 FY2018'!$F:$F)</f>
        <v>-1684415.2999999998</v>
      </c>
      <c r="J44" s="31" t="s">
        <v>227</v>
      </c>
      <c r="K44" s="2">
        <f>+COUNTIF('2.2 P&amp;L statement'!$B$4:$B$24,'2.1 Database'!J44)</f>
        <v>1</v>
      </c>
    </row>
    <row r="45" spans="2:11" x14ac:dyDescent="0.25">
      <c r="B45" s="2" t="s">
        <v>141</v>
      </c>
      <c r="C45" s="4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6">
        <f>-SUMIF('1.1 FY2016'!$B:$B,'2.1 Database'!B45,'1.1 FY2016'!$F:$F)</f>
        <v>-563918.152</v>
      </c>
      <c r="G45" s="16">
        <f>-SUMIF('1.2 FY2017'!$B:$B,'2.1 Database'!B45,'1.2 FY2017'!$F:$F)</f>
        <v>-638869.13</v>
      </c>
      <c r="H45" s="16">
        <f>-SUMIF('1.3 FY2018'!$B:$B,'2.1 Database'!B45,'1.3 FY2018'!$F:$F)</f>
        <v>-575626.2649999999</v>
      </c>
      <c r="J45" s="31" t="s">
        <v>227</v>
      </c>
      <c r="K45" s="2">
        <f>+COUNTIF('2.2 P&amp;L statement'!$B$4:$B$24,'2.1 Database'!J45)</f>
        <v>1</v>
      </c>
    </row>
    <row r="46" spans="2:11" x14ac:dyDescent="0.25">
      <c r="B46" s="2" t="s">
        <v>142</v>
      </c>
      <c r="C46" s="4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6">
        <f>-SUMIF('1.1 FY2016'!$B:$B,'2.1 Database'!B46,'1.1 FY2016'!$F:$F)</f>
        <v>0</v>
      </c>
      <c r="G46" s="16">
        <f>-SUMIF('1.2 FY2017'!$B:$B,'2.1 Database'!B46,'1.2 FY2017'!$F:$F)</f>
        <v>0</v>
      </c>
      <c r="H46" s="16">
        <f>-SUMIF('1.3 FY2018'!$B:$B,'2.1 Database'!B46,'1.3 FY2018'!$F:$F)</f>
        <v>0</v>
      </c>
      <c r="J46" s="31">
        <v>0</v>
      </c>
      <c r="K46" s="2">
        <f>+COUNTIF('2.2 P&amp;L statement'!$B$4:$B$24,'2.1 Database'!J46)</f>
        <v>0</v>
      </c>
    </row>
    <row r="47" spans="2:11" x14ac:dyDescent="0.25">
      <c r="B47" s="2" t="s">
        <v>143</v>
      </c>
      <c r="C47" s="4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6">
        <f>-SUMIF('1.1 FY2016'!$B:$B,'2.1 Database'!B47,'1.1 FY2016'!$F:$F)</f>
        <v>0</v>
      </c>
      <c r="G47" s="16">
        <f>-SUMIF('1.2 FY2017'!$B:$B,'2.1 Database'!B47,'1.2 FY2017'!$F:$F)</f>
        <v>0</v>
      </c>
      <c r="H47" s="16">
        <f>-SUMIF('1.3 FY2018'!$B:$B,'2.1 Database'!B47,'1.3 FY2018'!$F:$F)</f>
        <v>0</v>
      </c>
      <c r="J47" s="31">
        <v>0</v>
      </c>
      <c r="K47" s="2">
        <f>+COUNTIF('2.2 P&amp;L statement'!$B$4:$B$24,'2.1 Database'!J47)</f>
        <v>0</v>
      </c>
    </row>
    <row r="48" spans="2:11" x14ac:dyDescent="0.25">
      <c r="B48" s="2" t="s">
        <v>144</v>
      </c>
      <c r="C48" s="4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6">
        <f>-SUMIF('1.1 FY2016'!$B:$B,'2.1 Database'!B48,'1.1 FY2016'!$F:$F)</f>
        <v>0</v>
      </c>
      <c r="G48" s="16">
        <f>-SUMIF('1.2 FY2017'!$B:$B,'2.1 Database'!B48,'1.2 FY2017'!$F:$F)</f>
        <v>0</v>
      </c>
      <c r="H48" s="16">
        <f>-SUMIF('1.3 FY2018'!$B:$B,'2.1 Database'!B48,'1.3 FY2018'!$F:$F)</f>
        <v>0</v>
      </c>
      <c r="J48" s="31">
        <v>0</v>
      </c>
      <c r="K48" s="2">
        <f>+COUNTIF('2.2 P&amp;L statement'!$B$4:$B$24,'2.1 Database'!J48)</f>
        <v>0</v>
      </c>
    </row>
    <row r="49" spans="2:11" x14ac:dyDescent="0.25">
      <c r="B49" s="2" t="s">
        <v>145</v>
      </c>
      <c r="C49" s="4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6">
        <f>-SUMIF('1.1 FY2016'!$B:$B,'2.1 Database'!B49,'1.1 FY2016'!$F:$F)</f>
        <v>0</v>
      </c>
      <c r="G49" s="16">
        <f>-SUMIF('1.2 FY2017'!$B:$B,'2.1 Database'!B49,'1.2 FY2017'!$F:$F)</f>
        <v>0</v>
      </c>
      <c r="H49" s="16">
        <f>-SUMIF('1.3 FY2018'!$B:$B,'2.1 Database'!B49,'1.3 FY2018'!$F:$F)</f>
        <v>0</v>
      </c>
      <c r="J49" s="31" t="s">
        <v>219</v>
      </c>
      <c r="K49" s="2">
        <f>+COUNTIF('2.2 P&amp;L statement'!$B$4:$B$24,'2.1 Database'!J49)</f>
        <v>1</v>
      </c>
    </row>
    <row r="50" spans="2:11" x14ac:dyDescent="0.25">
      <c r="B50" s="2" t="s">
        <v>146</v>
      </c>
      <c r="C50" s="4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6">
        <f>-SUMIF('1.1 FY2016'!$B:$B,'2.1 Database'!B50,'1.1 FY2016'!$F:$F)</f>
        <v>0</v>
      </c>
      <c r="G50" s="16">
        <f>-SUMIF('1.2 FY2017'!$B:$B,'2.1 Database'!B50,'1.2 FY2017'!$F:$F)</f>
        <v>0</v>
      </c>
      <c r="H50" s="16">
        <f>-SUMIF('1.3 FY2018'!$B:$B,'2.1 Database'!B50,'1.3 FY2018'!$F:$F)</f>
        <v>0</v>
      </c>
      <c r="J50" s="31" t="s">
        <v>219</v>
      </c>
      <c r="K50" s="2">
        <f>+COUNTIF('2.2 P&amp;L statement'!$B$4:$B$24,'2.1 Database'!J50)</f>
        <v>1</v>
      </c>
    </row>
    <row r="51" spans="2:11" x14ac:dyDescent="0.25">
      <c r="B51" s="2" t="s">
        <v>147</v>
      </c>
      <c r="C51" s="4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6">
        <f>-SUMIF('1.1 FY2016'!$B:$B,'2.1 Database'!B51,'1.1 FY2016'!$F:$F)</f>
        <v>0</v>
      </c>
      <c r="G51" s="16">
        <f>-SUMIF('1.2 FY2017'!$B:$B,'2.1 Database'!B51,'1.2 FY2017'!$F:$F)</f>
        <v>0</v>
      </c>
      <c r="H51" s="16">
        <f>-SUMIF('1.3 FY2018'!$B:$B,'2.1 Database'!B51,'1.3 FY2018'!$F:$F)</f>
        <v>0</v>
      </c>
      <c r="J51" s="31" t="s">
        <v>219</v>
      </c>
      <c r="K51" s="2">
        <f>+COUNTIF('2.2 P&amp;L statement'!$B$4:$B$24,'2.1 Database'!J51)</f>
        <v>1</v>
      </c>
    </row>
    <row r="52" spans="2:11" x14ac:dyDescent="0.25">
      <c r="B52" s="2" t="s">
        <v>148</v>
      </c>
      <c r="C52" s="4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6">
        <f>-SUMIF('1.1 FY2016'!$B:$B,'2.1 Database'!B52,'1.1 FY2016'!$F:$F)</f>
        <v>35810.228000000003</v>
      </c>
      <c r="G52" s="16">
        <f>-SUMIF('1.2 FY2017'!$B:$B,'2.1 Database'!B52,'1.2 FY2017'!$F:$F)</f>
        <v>34224.959999999999</v>
      </c>
      <c r="H52" s="16">
        <f>-SUMIF('1.3 FY2018'!$B:$B,'2.1 Database'!B52,'1.3 FY2018'!$F:$F)</f>
        <v>0</v>
      </c>
      <c r="J52" s="31" t="s">
        <v>219</v>
      </c>
      <c r="K52" s="2">
        <f>+COUNTIF('2.2 P&amp;L statement'!$B$4:$B$24,'2.1 Database'!J52)</f>
        <v>1</v>
      </c>
    </row>
    <row r="53" spans="2:11" x14ac:dyDescent="0.25">
      <c r="B53" s="2" t="s">
        <v>149</v>
      </c>
      <c r="C53" s="4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6">
        <f>-SUMIF('1.1 FY2016'!$B:$B,'2.1 Database'!B53,'1.1 FY2016'!$F:$F)</f>
        <v>51927.417999999998</v>
      </c>
      <c r="G53" s="16">
        <f>-SUMIF('1.2 FY2017'!$B:$B,'2.1 Database'!B53,'1.2 FY2017'!$F:$F)</f>
        <v>2204.7199999999998</v>
      </c>
      <c r="H53" s="16">
        <f>-SUMIF('1.3 FY2018'!$B:$B,'2.1 Database'!B53,'1.3 FY2018'!$F:$F)</f>
        <v>73809.511999999988</v>
      </c>
      <c r="J53" s="31" t="s">
        <v>219</v>
      </c>
      <c r="K53" s="2">
        <f>+COUNTIF('2.2 P&amp;L statement'!$B$4:$B$24,'2.1 Database'!J53)</f>
        <v>1</v>
      </c>
    </row>
    <row r="54" spans="2:11" x14ac:dyDescent="0.25">
      <c r="B54" s="2" t="s">
        <v>150</v>
      </c>
      <c r="C54" s="4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6">
        <f>-SUMIF('1.1 FY2016'!$B:$B,'2.1 Database'!B54,'1.1 FY2016'!$F:$F)</f>
        <v>862270.63399999996</v>
      </c>
      <c r="G54" s="16">
        <f>-SUMIF('1.2 FY2017'!$B:$B,'2.1 Database'!B54,'1.2 FY2017'!$F:$F)</f>
        <v>0</v>
      </c>
      <c r="H54" s="16">
        <f>-SUMIF('1.3 FY2018'!$B:$B,'2.1 Database'!B54,'1.3 FY2018'!$F:$F)</f>
        <v>0</v>
      </c>
      <c r="J54" s="31" t="s">
        <v>64</v>
      </c>
      <c r="K54" s="2">
        <f>+COUNTIF('2.2 P&amp;L statement'!$B$4:$B$24,'2.1 Database'!J54)</f>
        <v>1</v>
      </c>
    </row>
    <row r="55" spans="2:11" x14ac:dyDescent="0.25">
      <c r="B55" s="2" t="s">
        <v>151</v>
      </c>
      <c r="C55" s="4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6">
        <f>-SUMIF('1.1 FY2016'!$B:$B,'2.1 Database'!B55,'1.1 FY2016'!$F:$F)</f>
        <v>-22763</v>
      </c>
      <c r="G55" s="16">
        <f>-SUMIF('1.2 FY2017'!$B:$B,'2.1 Database'!B55,'1.2 FY2017'!$F:$F)</f>
        <v>-80617.179999999993</v>
      </c>
      <c r="H55" s="16">
        <f>-SUMIF('1.3 FY2018'!$B:$B,'2.1 Database'!B55,'1.3 FY2018'!$F:$F)</f>
        <v>-7173.195999999999</v>
      </c>
      <c r="J55" s="31" t="s">
        <v>220</v>
      </c>
      <c r="K55" s="2">
        <f>+COUNTIF('2.2 P&amp;L statement'!$B$4:$B$24,'2.1 Database'!J55)</f>
        <v>1</v>
      </c>
    </row>
    <row r="56" spans="2:11" x14ac:dyDescent="0.25">
      <c r="B56" s="2" t="s">
        <v>152</v>
      </c>
      <c r="C56" s="4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6">
        <f>-SUMIF('1.1 FY2016'!$B:$B,'2.1 Database'!B56,'1.1 FY2016'!$F:$F)</f>
        <v>-2930430.0120000001</v>
      </c>
      <c r="G56" s="16">
        <f>-SUMIF('1.2 FY2017'!$B:$B,'2.1 Database'!B56,'1.2 FY2017'!$F:$F)</f>
        <v>-2752704.22</v>
      </c>
      <c r="H56" s="16">
        <f>-SUMIF('1.3 FY2018'!$B:$B,'2.1 Database'!B56,'1.3 FY2018'!$F:$F)</f>
        <v>-2324465.8859999999</v>
      </c>
      <c r="J56" s="31" t="s">
        <v>219</v>
      </c>
      <c r="K56" s="2">
        <f>+COUNTIF('2.2 P&amp;L statement'!$B$4:$B$24,'2.1 Database'!J56)</f>
        <v>1</v>
      </c>
    </row>
    <row r="57" spans="2:11" x14ac:dyDescent="0.25">
      <c r="B57" s="2" t="s">
        <v>153</v>
      </c>
      <c r="C57" s="4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6">
        <f>-SUMIF('1.1 FY2016'!$B:$B,'2.1 Database'!B57,'1.1 FY2016'!$F:$F)</f>
        <v>49378.641999999993</v>
      </c>
      <c r="G57" s="16">
        <f>-SUMIF('1.2 FY2017'!$B:$B,'2.1 Database'!B57,'1.2 FY2017'!$F:$F)</f>
        <v>-496748.70000000007</v>
      </c>
      <c r="H57" s="16">
        <f>-SUMIF('1.3 FY2018'!$B:$B,'2.1 Database'!B57,'1.3 FY2018'!$F:$F)</f>
        <v>-2558.1950000000002</v>
      </c>
      <c r="J57" s="31" t="s">
        <v>221</v>
      </c>
      <c r="K57" s="2">
        <f>+COUNTIF('2.2 P&amp;L statement'!$B$4:$B$24,'2.1 Database'!J57)</f>
        <v>1</v>
      </c>
    </row>
    <row r="58" spans="2:11" x14ac:dyDescent="0.25">
      <c r="B58" s="2" t="s">
        <v>154</v>
      </c>
      <c r="C58" s="4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6">
        <f>-SUMIF('1.1 FY2016'!$B:$B,'2.1 Database'!B58,'1.1 FY2016'!$F:$F)</f>
        <v>-516250.67</v>
      </c>
      <c r="G58" s="16">
        <f>-SUMIF('1.2 FY2017'!$B:$B,'2.1 Database'!B58,'1.2 FY2017'!$F:$F)</f>
        <v>-480872.96000000002</v>
      </c>
      <c r="H58" s="16">
        <f>-SUMIF('1.3 FY2018'!$B:$B,'2.1 Database'!B58,'1.3 FY2018'!$F:$F)</f>
        <v>-522710.353</v>
      </c>
      <c r="J58" s="31" t="s">
        <v>221</v>
      </c>
      <c r="K58" s="2">
        <f>+COUNTIF('2.2 P&amp;L statement'!$B$4:$B$24,'2.1 Database'!J58)</f>
        <v>1</v>
      </c>
    </row>
    <row r="59" spans="2:11" x14ac:dyDescent="0.25">
      <c r="B59" s="2" t="s">
        <v>155</v>
      </c>
      <c r="C59" s="4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6">
        <f>-SUMIF('1.1 FY2016'!$B:$B,'2.1 Database'!B59,'1.1 FY2016'!$F:$F)</f>
        <v>-21593.093999999997</v>
      </c>
      <c r="G59" s="16">
        <f>-SUMIF('1.2 FY2017'!$B:$B,'2.1 Database'!B59,'1.2 FY2017'!$F:$F)</f>
        <v>-6570.3050000000003</v>
      </c>
      <c r="H59" s="16">
        <f>-SUMIF('1.3 FY2018'!$B:$B,'2.1 Database'!B59,'1.3 FY2018'!$F:$F)</f>
        <v>160303.52199999997</v>
      </c>
      <c r="J59" s="31" t="s">
        <v>221</v>
      </c>
      <c r="K59" s="2">
        <f>+COUNTIF('2.2 P&amp;L statement'!$B$4:$B$24,'2.1 Database'!J59)</f>
        <v>1</v>
      </c>
    </row>
    <row r="60" spans="2:11" x14ac:dyDescent="0.25">
      <c r="B60" s="2" t="s">
        <v>156</v>
      </c>
      <c r="C60" s="4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6">
        <f>SUMIF('1.1 FY2016'!$B:$B,'2.1 Database'!B60,'1.1 FY2016'!$F:$F)</f>
        <v>-2904117.9939999986</v>
      </c>
      <c r="G60" s="16">
        <f>SUMIF('1.2 FY2017'!$B:$B,'2.1 Database'!B60,'1.2 FY2017'!$F:$F)</f>
        <v>0</v>
      </c>
      <c r="H60" s="16">
        <f>SUMIF('1.3 FY2018'!$B:$B,'2.1 Database'!B60,'1.3 FY2018'!$F:$F)</f>
        <v>0</v>
      </c>
      <c r="J60" s="31" t="s">
        <v>231</v>
      </c>
      <c r="K60" s="2">
        <f>+COUNTIF('2.2 P&amp;L statement'!$B$4:$B$24,'2.1 Database'!J60)</f>
        <v>1</v>
      </c>
    </row>
    <row r="61" spans="2:11" x14ac:dyDescent="0.25">
      <c r="B61" s="2" t="s">
        <v>157</v>
      </c>
      <c r="C61" s="4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6">
        <f>-SUMIF('1.1 FY2016'!$B:$B,'2.1 Database'!B61,'1.1 FY2016'!$F:$F)</f>
        <v>0</v>
      </c>
      <c r="G61" s="16">
        <f>-SUMIF('1.2 FY2017'!$B:$B,'2.1 Database'!B61,'1.2 FY2017'!$F:$F)</f>
        <v>355396.61499999999</v>
      </c>
      <c r="H61" s="16">
        <f>-SUMIF('1.3 FY2018'!$B:$B,'2.1 Database'!B61,'1.3 FY2018'!$F:$F)</f>
        <v>616462.01899999997</v>
      </c>
      <c r="J61" s="31" t="s">
        <v>222</v>
      </c>
      <c r="K61" s="2">
        <f>+COUNTIF('2.2 P&amp;L statement'!$B$4:$B$24,'2.1 Database'!J61)</f>
        <v>1</v>
      </c>
    </row>
    <row r="62" spans="2:11" x14ac:dyDescent="0.25">
      <c r="B62" s="2" t="s">
        <v>158</v>
      </c>
      <c r="C62" s="4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6">
        <f>-SUMIF('1.1 FY2016'!$B:$B,'2.1 Database'!B62,'1.1 FY2016'!$F:$F)</f>
        <v>0</v>
      </c>
      <c r="G62" s="16">
        <f>-SUMIF('1.2 FY2017'!$B:$B,'2.1 Database'!B62,'1.2 FY2017'!$F:$F)</f>
        <v>420017.14999999997</v>
      </c>
      <c r="H62" s="16">
        <f>-SUMIF('1.3 FY2018'!$B:$B,'2.1 Database'!B62,'1.3 FY2018'!$F:$F)</f>
        <v>0</v>
      </c>
      <c r="J62" s="31" t="s">
        <v>64</v>
      </c>
      <c r="K62" s="2">
        <f>+COUNTIF('2.2 P&amp;L statement'!$B$4:$B$24,'2.1 Database'!J62)</f>
        <v>1</v>
      </c>
    </row>
    <row r="63" spans="2:11" x14ac:dyDescent="0.25">
      <c r="B63" s="2" t="s">
        <v>159</v>
      </c>
      <c r="C63" s="4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6">
        <f>-SUMIF('1.1 FY2016'!$B:$B,'2.1 Database'!B63,'1.1 FY2016'!$F:$F)</f>
        <v>0</v>
      </c>
      <c r="G63" s="16">
        <f>-SUMIF('1.2 FY2017'!$B:$B,'2.1 Database'!B63,'1.2 FY2017'!$F:$F)</f>
        <v>-14589.33</v>
      </c>
      <c r="H63" s="16">
        <f>-SUMIF('1.3 FY2018'!$B:$B,'2.1 Database'!B63,'1.3 FY2018'!$F:$F)</f>
        <v>-20504.509999999998</v>
      </c>
      <c r="J63" s="31" t="s">
        <v>227</v>
      </c>
      <c r="K63" s="2">
        <f>+COUNTIF('2.2 P&amp;L statement'!$B$4:$B$24,'2.1 Database'!J63)</f>
        <v>1</v>
      </c>
    </row>
    <row r="64" spans="2:11" x14ac:dyDescent="0.25">
      <c r="B64" s="2" t="s">
        <v>160</v>
      </c>
      <c r="C64" s="4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6">
        <f>-SUMIF('1.1 FY2016'!$B:$B,'2.1 Database'!B64,'1.1 FY2016'!$F:$F)</f>
        <v>0</v>
      </c>
      <c r="G64" s="16">
        <f>-SUMIF('1.2 FY2017'!$B:$B,'2.1 Database'!B64,'1.2 FY2017'!$F:$F)</f>
        <v>-38521</v>
      </c>
      <c r="H64" s="16">
        <f>-SUMIF('1.3 FY2018'!$B:$B,'2.1 Database'!B64,'1.3 FY2018'!$F:$F)</f>
        <v>0</v>
      </c>
      <c r="J64" s="31" t="s">
        <v>227</v>
      </c>
      <c r="K64" s="2">
        <f>+COUNTIF('2.2 P&amp;L statement'!$B$4:$B$24,'2.1 Database'!J64)</f>
        <v>1</v>
      </c>
    </row>
    <row r="65" spans="2:11" x14ac:dyDescent="0.25">
      <c r="B65" s="2" t="s">
        <v>161</v>
      </c>
      <c r="C65" s="4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6">
        <f>-SUMIF('1.1 FY2016'!$B:$B,'2.1 Database'!B65,'1.1 FY2016'!$F:$F)</f>
        <v>0</v>
      </c>
      <c r="G65" s="16">
        <f>-SUMIF('1.2 FY2017'!$B:$B,'2.1 Database'!B65,'1.2 FY2017'!$F:$F)</f>
        <v>-1820</v>
      </c>
      <c r="H65" s="16">
        <f>-SUMIF('1.3 FY2018'!$B:$B,'2.1 Database'!B65,'1.3 FY2018'!$F:$F)</f>
        <v>0</v>
      </c>
      <c r="J65" s="31" t="s">
        <v>227</v>
      </c>
      <c r="K65" s="2">
        <f>+COUNTIF('2.2 P&amp;L statement'!$B$4:$B$24,'2.1 Database'!J65)</f>
        <v>1</v>
      </c>
    </row>
    <row r="66" spans="2:11" x14ac:dyDescent="0.25">
      <c r="B66" s="2" t="s">
        <v>162</v>
      </c>
      <c r="C66" s="4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6">
        <f>-SUMIF('1.1 FY2016'!$B:$B,'2.1 Database'!B66,'1.1 FY2016'!$F:$F)</f>
        <v>0</v>
      </c>
      <c r="G66" s="16">
        <f>-SUMIF('1.2 FY2017'!$B:$B,'2.1 Database'!B66,'1.2 FY2017'!$F:$F)</f>
        <v>-10448.129999999999</v>
      </c>
      <c r="H66" s="16">
        <f>-SUMIF('1.3 FY2018'!$B:$B,'2.1 Database'!B66,'1.3 FY2018'!$F:$F)</f>
        <v>-673.34299999999985</v>
      </c>
      <c r="J66" s="31" t="s">
        <v>227</v>
      </c>
      <c r="K66" s="2">
        <f>+COUNTIF('2.2 P&amp;L statement'!$B$4:$B$24,'2.1 Database'!J66)</f>
        <v>1</v>
      </c>
    </row>
    <row r="67" spans="2:11" x14ac:dyDescent="0.25">
      <c r="B67" s="2" t="s">
        <v>163</v>
      </c>
      <c r="C67" s="4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6">
        <f>-SUMIF('1.1 FY2016'!$B:$B,'2.1 Database'!B67,'1.1 FY2016'!$F:$F)</f>
        <v>0</v>
      </c>
      <c r="G67" s="16">
        <f>-SUMIF('1.2 FY2017'!$B:$B,'2.1 Database'!B67,'1.2 FY2017'!$F:$F)</f>
        <v>-10412.5</v>
      </c>
      <c r="H67" s="16">
        <f>-SUMIF('1.3 FY2018'!$B:$B,'2.1 Database'!B67,'1.3 FY2018'!$F:$F)</f>
        <v>0</v>
      </c>
      <c r="J67" s="31" t="s">
        <v>227</v>
      </c>
      <c r="K67" s="2">
        <f>+COUNTIF('2.2 P&amp;L statement'!$B$4:$B$24,'2.1 Database'!J67)</f>
        <v>1</v>
      </c>
    </row>
    <row r="68" spans="2:11" x14ac:dyDescent="0.25">
      <c r="B68" s="2" t="s">
        <v>164</v>
      </c>
      <c r="C68" s="4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6">
        <f>-SUMIF('1.1 FY2016'!$B:$B,'2.1 Database'!B68,'1.1 FY2016'!$F:$F)</f>
        <v>0</v>
      </c>
      <c r="G68" s="16">
        <f>-SUMIF('1.2 FY2017'!$B:$B,'2.1 Database'!B68,'1.2 FY2017'!$F:$F)</f>
        <v>-6919.8499999999995</v>
      </c>
      <c r="H68" s="16">
        <f>-SUMIF('1.3 FY2018'!$B:$B,'2.1 Database'!B68,'1.3 FY2018'!$F:$F)</f>
        <v>0</v>
      </c>
      <c r="J68" s="31" t="s">
        <v>214</v>
      </c>
      <c r="K68" s="2">
        <f>+COUNTIF('2.2 P&amp;L statement'!$B$4:$B$24,'2.1 Database'!J68)</f>
        <v>1</v>
      </c>
    </row>
    <row r="69" spans="2:11" x14ac:dyDescent="0.25">
      <c r="B69" s="2" t="s">
        <v>165</v>
      </c>
      <c r="C69" s="4" t="str">
        <f>VLOOKUP($B69,'1.2 FY2017'!$B$5:$E$86,2,FALSE)</f>
        <v>Gains from disposal of PP&amp;E</v>
      </c>
      <c r="D69" s="4">
        <f>VLOOKUP($B69,'1.2 FY2017'!$B$5:$E$86,3,FALSE)</f>
        <v>111111</v>
      </c>
      <c r="E69" s="4" t="str">
        <f>VLOOKUP($B69,'1.2 FY2017'!$B$5:$E$86,4,FALSE)</f>
        <v>External</v>
      </c>
      <c r="F69" s="16">
        <f>-SUMIF('1.1 FY2016'!$B:$B,'2.1 Database'!B69,'1.1 FY2016'!$F:$F)</f>
        <v>0</v>
      </c>
      <c r="G69" s="16">
        <f>-SUMIF('1.2 FY2017'!$B:$B,'2.1 Database'!B69,'1.2 FY2017'!$F:$F)</f>
        <v>121553.07499999998</v>
      </c>
      <c r="H69" s="16">
        <f>-SUMIF('1.3 FY2018'!$B:$B,'2.1 Database'!B69,'1.3 FY2018'!$F:$F)</f>
        <v>0</v>
      </c>
      <c r="J69" s="31" t="s">
        <v>220</v>
      </c>
      <c r="K69" s="2">
        <f>+COUNTIF('2.2 P&amp;L statement'!$B$4:$B$24,'2.1 Database'!J69)</f>
        <v>1</v>
      </c>
    </row>
    <row r="70" spans="2:11" x14ac:dyDescent="0.25">
      <c r="B70" s="2" t="s">
        <v>166</v>
      </c>
      <c r="C70" s="4" t="str">
        <f>VLOOKUP($B70,'1.2 FY2017'!$B$5:$E$86,2,FALSE)</f>
        <v>Corporate recharges</v>
      </c>
      <c r="D70" s="4">
        <f>VLOOKUP($B70,'1.2 FY2017'!$B$5:$E$86,3,FALSE)</f>
        <v>19</v>
      </c>
      <c r="E70" s="4" t="str">
        <f>VLOOKUP($B70,'1.2 FY2017'!$B$5:$E$86,4,FALSE)</f>
        <v>Generco Cosmetics Ltd</v>
      </c>
      <c r="F70" s="16">
        <f>-SUMIF('1.1 FY2016'!$B:$B,'2.1 Database'!B70,'1.1 FY2016'!$F:$F)</f>
        <v>0</v>
      </c>
      <c r="G70" s="16">
        <f>-SUMIF('1.2 FY2017'!$B:$B,'2.1 Database'!B70,'1.2 FY2017'!$F:$F)</f>
        <v>416278.66</v>
      </c>
      <c r="H70" s="16">
        <f>-SUMIF('1.3 FY2018'!$B:$B,'2.1 Database'!B70,'1.3 FY2018'!$F:$F)</f>
        <v>622966.38600000006</v>
      </c>
      <c r="J70" s="31" t="s">
        <v>215</v>
      </c>
      <c r="K70" s="2">
        <f>+COUNTIF('2.2 P&amp;L statement'!$B$4:$B$24,'2.1 Database'!J70)</f>
        <v>1</v>
      </c>
    </row>
    <row r="71" spans="2:11" x14ac:dyDescent="0.25">
      <c r="B71" s="2" t="s">
        <v>167</v>
      </c>
      <c r="C71" s="4" t="str">
        <f>VLOOKUP($B71,'1.2 FY2017'!$B$5:$E$86,2,FALSE)</f>
        <v>Corporate recharges</v>
      </c>
      <c r="D71" s="4" t="str">
        <f>VLOOKUP($B71,'1.2 FY2017'!$B$5:$E$86,3,FALSE)</f>
        <v>1076</v>
      </c>
      <c r="E71" s="4" t="str">
        <f>VLOOKUP($B71,'1.2 FY2017'!$B$5:$E$86,4,FALSE)</f>
        <v>Generco Trading Ltd</v>
      </c>
      <c r="F71" s="16">
        <f>-SUMIF('1.1 FY2016'!$B:$B,'2.1 Database'!B71,'1.1 FY2016'!$F:$F)</f>
        <v>0</v>
      </c>
      <c r="G71" s="16">
        <f>-SUMIF('1.2 FY2017'!$B:$B,'2.1 Database'!B71,'1.2 FY2017'!$F:$F)</f>
        <v>364243.84499999997</v>
      </c>
      <c r="H71" s="16">
        <f>-SUMIF('1.3 FY2018'!$B:$B,'2.1 Database'!B71,'1.3 FY2018'!$F:$F)</f>
        <v>0</v>
      </c>
      <c r="J71" s="31" t="s">
        <v>215</v>
      </c>
      <c r="K71" s="2">
        <f>+COUNTIF('2.2 P&amp;L statement'!$B$4:$B$24,'2.1 Database'!J71)</f>
        <v>1</v>
      </c>
    </row>
    <row r="72" spans="2:11" x14ac:dyDescent="0.25">
      <c r="B72" s="2" t="s">
        <v>168</v>
      </c>
      <c r="C72" s="4" t="str">
        <f>VLOOKUP($B72,'1.2 FY2017'!$B$5:$E$86,2,FALSE)</f>
        <v>Corporate recharges</v>
      </c>
      <c r="D72" s="4" t="str">
        <f>VLOOKUP($B72,'1.2 FY2017'!$B$5:$E$86,3,FALSE)</f>
        <v>1086</v>
      </c>
      <c r="E72" s="4" t="str">
        <f>VLOOKUP($B72,'1.2 FY2017'!$B$5:$E$86,4,FALSE)</f>
        <v>G&amp;Resources Ltd</v>
      </c>
      <c r="F72" s="16">
        <f>-SUMIF('1.1 FY2016'!$B:$B,'2.1 Database'!B72,'1.1 FY2016'!$F:$F)</f>
        <v>0</v>
      </c>
      <c r="G72" s="16">
        <f>-SUMIF('1.2 FY2017'!$B:$B,'2.1 Database'!B72,'1.2 FY2017'!$F:$F)</f>
        <v>0</v>
      </c>
      <c r="H72" s="16">
        <f>-SUMIF('1.3 FY2018'!$B:$B,'2.1 Database'!B72,'1.3 FY2018'!$F:$F)</f>
        <v>0</v>
      </c>
      <c r="J72" s="31" t="s">
        <v>215</v>
      </c>
      <c r="K72" s="2">
        <f>+COUNTIF('2.2 P&amp;L statement'!$B$4:$B$24,'2.1 Database'!J72)</f>
        <v>1</v>
      </c>
    </row>
    <row r="73" spans="2:11" x14ac:dyDescent="0.25">
      <c r="B73" s="2" t="s">
        <v>169</v>
      </c>
      <c r="C73" s="4" t="str">
        <f>VLOOKUP($B73,'1.2 FY2017'!$B$5:$E$86,2,FALSE)</f>
        <v>Corporate recharges</v>
      </c>
      <c r="D73" s="4" t="str">
        <f>VLOOKUP($B73,'1.2 FY2017'!$B$5:$E$86,3,FALSE)</f>
        <v>47037</v>
      </c>
      <c r="E73" s="4" t="str">
        <f>VLOOKUP($B73,'1.2 FY2017'!$B$5:$E$86,4,FALSE)</f>
        <v>G&amp;CR Global Ltd</v>
      </c>
      <c r="F73" s="16">
        <f>-SUMIF('1.1 FY2016'!$B:$B,'2.1 Database'!B73,'1.1 FY2016'!$F:$F)</f>
        <v>0</v>
      </c>
      <c r="G73" s="16">
        <f>-SUMIF('1.2 FY2017'!$B:$B,'2.1 Database'!B73,'1.2 FY2017'!$F:$F)</f>
        <v>482611.04499999998</v>
      </c>
      <c r="H73" s="16">
        <f>-SUMIF('1.3 FY2018'!$B:$B,'2.1 Database'!B73,'1.3 FY2018'!$F:$F)</f>
        <v>1948832.1429999999</v>
      </c>
      <c r="J73" s="31" t="s">
        <v>215</v>
      </c>
      <c r="K73" s="2">
        <f>+COUNTIF('2.2 P&amp;L statement'!$B$4:$B$24,'2.1 Database'!J73)</f>
        <v>1</v>
      </c>
    </row>
    <row r="74" spans="2:11" x14ac:dyDescent="0.25">
      <c r="B74" s="2" t="s">
        <v>170</v>
      </c>
      <c r="C74" s="4" t="str">
        <f>VLOOKUP($B74,'1.2 FY2017'!$B$5:$E$86,2,FALSE)</f>
        <v>Other income</v>
      </c>
      <c r="D74" s="4">
        <f>VLOOKUP($B74,'1.2 FY2017'!$B$5:$E$86,3,FALSE)</f>
        <v>88</v>
      </c>
      <c r="E74" s="4" t="str">
        <f>VLOOKUP($B74,'1.2 FY2017'!$B$5:$E$86,4,FALSE)</f>
        <v>Generco Ltd</v>
      </c>
      <c r="F74" s="16">
        <f>-SUMIF('1.1 FY2016'!$B:$B,'2.1 Database'!B74,'1.1 FY2016'!$F:$F)</f>
        <v>0</v>
      </c>
      <c r="G74" s="16">
        <f>-SUMIF('1.2 FY2017'!$B:$B,'2.1 Database'!B74,'1.2 FY2017'!$F:$F)</f>
        <v>2436.35</v>
      </c>
      <c r="H74" s="16">
        <f>-SUMIF('1.3 FY2018'!$B:$B,'2.1 Database'!B74,'1.3 FY2018'!$F:$F)</f>
        <v>0</v>
      </c>
      <c r="J74" s="31" t="s">
        <v>71</v>
      </c>
      <c r="K74" s="2">
        <f>+COUNTIF('2.2 P&amp;L statement'!$B$4:$B$24,'2.1 Database'!J74)</f>
        <v>1</v>
      </c>
    </row>
    <row r="75" spans="2:11" x14ac:dyDescent="0.25">
      <c r="B75" s="2" t="s">
        <v>171</v>
      </c>
      <c r="C75" s="4" t="str">
        <f>VLOOKUP($B75,'1.2 FY2017'!$B$5:$E$86,2,FALSE)</f>
        <v>Concession fees other</v>
      </c>
      <c r="D75" s="4">
        <f>VLOOKUP($B75,'1.2 FY2017'!$B$5:$E$86,3,FALSE)</f>
        <v>111101</v>
      </c>
      <c r="E75" s="4" t="str">
        <f>VLOOKUP($B75,'1.2 FY2017'!$B$5:$E$86,4,FALSE)</f>
        <v>Not assigned</v>
      </c>
      <c r="F75" s="16">
        <f>-SUMIF('1.1 FY2016'!$B:$B,'2.1 Database'!B75,'1.1 FY2016'!$F:$F)</f>
        <v>0</v>
      </c>
      <c r="G75" s="16">
        <f>-SUMIF('1.2 FY2017'!$B:$B,'2.1 Database'!B75,'1.2 FY2017'!$F:$F)</f>
        <v>-81.339999999999989</v>
      </c>
      <c r="H75" s="16">
        <f>-SUMIF('1.3 FY2018'!$B:$B,'2.1 Database'!B75,'1.3 FY2018'!$F:$F)</f>
        <v>0</v>
      </c>
      <c r="J75" s="31" t="s">
        <v>227</v>
      </c>
      <c r="K75" s="2">
        <f>+COUNTIF('2.2 P&amp;L statement'!$B$4:$B$24,'2.1 Database'!J75)</f>
        <v>1</v>
      </c>
    </row>
    <row r="76" spans="2:11" x14ac:dyDescent="0.25">
      <c r="B76" s="2" t="s">
        <v>172</v>
      </c>
      <c r="C76" s="4" t="str">
        <f>VLOOKUP($B76,'1.2 FY2017'!$B$5:$E$86,2,FALSE)</f>
        <v>Service expenses</v>
      </c>
      <c r="D76" s="4">
        <f>VLOOKUP($B76,'1.2 FY2017'!$B$5:$E$86,3,FALSE)</f>
        <v>105</v>
      </c>
      <c r="E76" s="4" t="str">
        <f>VLOOKUP($B76,'1.2 FY2017'!$B$5:$E$86,4,FALSE)</f>
        <v>Generco Healthcare Ltd</v>
      </c>
      <c r="F76" s="16">
        <f>-SUMIF('1.1 FY2016'!$B:$B,'2.1 Database'!B76,'1.1 FY2016'!$F:$F)</f>
        <v>0</v>
      </c>
      <c r="G76" s="16">
        <f>-SUMIF('1.2 FY2017'!$B:$B,'2.1 Database'!B76,'1.2 FY2017'!$F:$F)</f>
        <v>-276920</v>
      </c>
      <c r="H76" s="16">
        <f>-SUMIF('1.3 FY2018'!$B:$B,'2.1 Database'!B76,'1.3 FY2018'!$F:$F)</f>
        <v>-473575.46100000001</v>
      </c>
      <c r="J76" s="31" t="s">
        <v>217</v>
      </c>
      <c r="K76" s="2">
        <f>+COUNTIF('2.2 P&amp;L statement'!$B$4:$B$24,'2.1 Database'!J76)</f>
        <v>1</v>
      </c>
    </row>
    <row r="77" spans="2:11" x14ac:dyDescent="0.25">
      <c r="B77" s="2" t="s">
        <v>173</v>
      </c>
      <c r="C77" s="4" t="str">
        <f>VLOOKUP($B77,'1.2 FY2017'!$B$5:$E$86,2,FALSE)</f>
        <v>Insurance expenses</v>
      </c>
      <c r="D77" s="4">
        <f>VLOOKUP($B77,'1.2 FY2017'!$B$5:$E$86,3,FALSE)</f>
        <v>1900</v>
      </c>
      <c r="E77" s="4" t="str">
        <f>VLOOKUP($B77,'1.2 FY2017'!$B$5:$E$86,4,FALSE)</f>
        <v>Generco Metals Gm</v>
      </c>
      <c r="F77" s="16">
        <f>-SUMIF('1.1 FY2016'!$B:$B,'2.1 Database'!B77,'1.1 FY2016'!$F:$F)</f>
        <v>0</v>
      </c>
      <c r="G77" s="16">
        <f>-SUMIF('1.2 FY2017'!$B:$B,'2.1 Database'!B77,'1.2 FY2017'!$F:$F)</f>
        <v>0</v>
      </c>
      <c r="H77" s="16">
        <f>-SUMIF('1.3 FY2018'!$B:$B,'2.1 Database'!B77,'1.3 FY2018'!$F:$F)</f>
        <v>0</v>
      </c>
      <c r="J77" s="31">
        <v>0</v>
      </c>
      <c r="K77" s="2">
        <f>+COUNTIF('2.2 P&amp;L statement'!$B$4:$B$24,'2.1 Database'!J77)</f>
        <v>0</v>
      </c>
    </row>
    <row r="78" spans="2:11" x14ac:dyDescent="0.25">
      <c r="B78" s="2" t="s">
        <v>174</v>
      </c>
      <c r="C78" s="4" t="str">
        <f>VLOOKUP($B78,'1.2 FY2017'!$B$5:$E$86,2,FALSE)</f>
        <v>Travel expenses</v>
      </c>
      <c r="D78" s="4" t="str">
        <f>VLOOKUP($B78,'1.2 FY2017'!$B$5:$E$86,3,FALSE)</f>
        <v>1118</v>
      </c>
      <c r="E78" s="4" t="str">
        <f>VLOOKUP($B78,'1.2 FY2017'!$B$5:$E$86,4,FALSE)</f>
        <v>Gener Green LLC</v>
      </c>
      <c r="F78" s="16">
        <f>-SUMIF('1.1 FY2016'!$B:$B,'2.1 Database'!B78,'1.1 FY2016'!$F:$F)</f>
        <v>0</v>
      </c>
      <c r="G78" s="16">
        <f>-SUMIF('1.2 FY2017'!$B:$B,'2.1 Database'!B78,'1.2 FY2017'!$F:$F)</f>
        <v>-23928.799999999999</v>
      </c>
      <c r="H78" s="16">
        <f>-SUMIF('1.3 FY2018'!$B:$B,'2.1 Database'!B78,'1.3 FY2018'!$F:$F)</f>
        <v>0</v>
      </c>
      <c r="J78" s="31" t="s">
        <v>227</v>
      </c>
      <c r="K78" s="2">
        <f>+COUNTIF('2.2 P&amp;L statement'!$B$4:$B$24,'2.1 Database'!J78)</f>
        <v>1</v>
      </c>
    </row>
    <row r="79" spans="2:11" x14ac:dyDescent="0.25">
      <c r="B79" s="2" t="s">
        <v>175</v>
      </c>
      <c r="C79" s="4" t="str">
        <f>VLOOKUP($B79,'1.2 FY2017'!$B$5:$E$86,2,FALSE)</f>
        <v>Losses fr disposal of PPE</v>
      </c>
      <c r="D79" s="4">
        <f>VLOOKUP($B79,'1.2 FY2017'!$B$5:$E$86,3,FALSE)</f>
        <v>111111</v>
      </c>
      <c r="E79" s="4" t="str">
        <f>VLOOKUP($B79,'1.2 FY2017'!$B$5:$E$86,4,FALSE)</f>
        <v>External</v>
      </c>
      <c r="F79" s="16">
        <f>-SUMIF('1.1 FY2016'!$B:$B,'2.1 Database'!B79,'1.1 FY2016'!$F:$F)</f>
        <v>0</v>
      </c>
      <c r="G79" s="16">
        <f>-SUMIF('1.2 FY2017'!$B:$B,'2.1 Database'!B79,'1.2 FY2017'!$F:$F)</f>
        <v>-308232</v>
      </c>
      <c r="H79" s="16">
        <f>-SUMIF('1.3 FY2018'!$B:$B,'2.1 Database'!B79,'1.3 FY2018'!$F:$F)</f>
        <v>0</v>
      </c>
      <c r="J79" s="31" t="s">
        <v>220</v>
      </c>
      <c r="K79" s="2">
        <f>+COUNTIF('2.2 P&amp;L statement'!$B$4:$B$24,'2.1 Database'!J79)</f>
        <v>1</v>
      </c>
    </row>
    <row r="80" spans="2:11" x14ac:dyDescent="0.25">
      <c r="B80" s="2" t="s">
        <v>176</v>
      </c>
      <c r="C80" s="4" t="str">
        <f>VLOOKUP($B80,'1.2 FY2017'!$B$5:$E$86,2,FALSE)</f>
        <v>Other operative currency differences</v>
      </c>
      <c r="D80" s="4">
        <f>VLOOKUP($B80,'1.2 FY2017'!$B$5:$E$86,3,FALSE)</f>
        <v>19</v>
      </c>
      <c r="E80" s="4" t="str">
        <f>VLOOKUP($B80,'1.2 FY2017'!$B$5:$E$86,4,FALSE)</f>
        <v>Generco Cosmetics Ltd</v>
      </c>
      <c r="F80" s="16">
        <f>-SUMIF('1.1 FY2016'!$B:$B,'2.1 Database'!B80,'1.1 FY2016'!$F:$F)</f>
        <v>0</v>
      </c>
      <c r="G80" s="16">
        <f>-SUMIF('1.2 FY2017'!$B:$B,'2.1 Database'!B80,'1.2 FY2017'!$F:$F)</f>
        <v>-13422.779999999999</v>
      </c>
      <c r="H80" s="16">
        <f>-SUMIF('1.3 FY2018'!$B:$B,'2.1 Database'!B80,'1.3 FY2018'!$F:$F)</f>
        <v>0</v>
      </c>
      <c r="J80" s="31" t="s">
        <v>227</v>
      </c>
      <c r="K80" s="2">
        <f>+COUNTIF('2.2 P&amp;L statement'!$B$4:$B$24,'2.1 Database'!J80)</f>
        <v>1</v>
      </c>
    </row>
    <row r="81" spans="2:11" x14ac:dyDescent="0.25">
      <c r="B81" s="2" t="s">
        <v>177</v>
      </c>
      <c r="C81" s="4" t="str">
        <f>VLOOKUP($B81,'1.2 FY2017'!$B$5:$E$86,2,FALSE)</f>
        <v>Other operative currency differences</v>
      </c>
      <c r="D81" s="4">
        <f>VLOOKUP($B81,'1.2 FY2017'!$B$5:$E$86,3,FALSE)</f>
        <v>111111</v>
      </c>
      <c r="E81" s="4" t="str">
        <f>VLOOKUP($B81,'1.2 FY2017'!$B$5:$E$86,4,FALSE)</f>
        <v>External</v>
      </c>
      <c r="F81" s="16">
        <f>-SUMIF('1.1 FY2016'!$B:$B,'2.1 Database'!B81,'1.1 FY2016'!$F:$F)</f>
        <v>0</v>
      </c>
      <c r="G81" s="16">
        <f>-SUMIF('1.2 FY2017'!$B:$B,'2.1 Database'!B81,'1.2 FY2017'!$F:$F)</f>
        <v>-4045.6150000000002</v>
      </c>
      <c r="H81" s="16">
        <f>-SUMIF('1.3 FY2018'!$B:$B,'2.1 Database'!B81,'1.3 FY2018'!$F:$F)</f>
        <v>0</v>
      </c>
      <c r="J81" s="31" t="s">
        <v>227</v>
      </c>
      <c r="K81" s="2">
        <f>+COUNTIF('2.2 P&amp;L statement'!$B$4:$B$24,'2.1 Database'!J81)</f>
        <v>1</v>
      </c>
    </row>
    <row r="82" spans="2:11" x14ac:dyDescent="0.25">
      <c r="B82" s="2" t="s">
        <v>178</v>
      </c>
      <c r="C82" s="4" t="str">
        <f>VLOOKUP($B82,'1.2 FY2017'!$B$5:$E$86,2,FALSE)</f>
        <v>Property tax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6">
        <f>-SUMIF('1.1 FY2016'!$B:$B,'2.1 Database'!B82,'1.1 FY2016'!$F:$F)</f>
        <v>0</v>
      </c>
      <c r="G82" s="16">
        <f>-SUMIF('1.2 FY2017'!$B:$B,'2.1 Database'!B82,'1.2 FY2017'!$F:$F)</f>
        <v>-49621.144999999997</v>
      </c>
      <c r="H82" s="16">
        <f>-SUMIF('1.3 FY2018'!$B:$B,'2.1 Database'!B82,'1.3 FY2018'!$F:$F)</f>
        <v>0</v>
      </c>
      <c r="J82" s="31" t="s">
        <v>227</v>
      </c>
      <c r="K82" s="2">
        <f>+COUNTIF('2.2 P&amp;L statement'!$B$4:$B$24,'2.1 Database'!J82)</f>
        <v>1</v>
      </c>
    </row>
    <row r="83" spans="2:11" x14ac:dyDescent="0.25">
      <c r="B83" s="2" t="s">
        <v>179</v>
      </c>
      <c r="C83" s="4" t="str">
        <f>VLOOKUP($B83,'1.2 FY2017'!$B$5:$E$86,2,FALSE)</f>
        <v>Misc extraordinary expenses</v>
      </c>
      <c r="D83" s="4">
        <f>VLOOKUP($B83,'1.2 FY2017'!$B$5:$E$86,3,FALSE)</f>
        <v>19</v>
      </c>
      <c r="E83" s="4" t="str">
        <f>VLOOKUP($B83,'1.2 FY2017'!$B$5:$E$86,4,FALSE)</f>
        <v>Generco Cosmetics Ltd</v>
      </c>
      <c r="F83" s="16">
        <f>-SUMIF('1.1 FY2016'!$B:$B,'2.1 Database'!B83,'1.1 FY2016'!$F:$F)</f>
        <v>0</v>
      </c>
      <c r="G83" s="16">
        <f>-SUMIF('1.2 FY2017'!$B:$B,'2.1 Database'!B83,'1.2 FY2017'!$F:$F)</f>
        <v>-85462.684999999998</v>
      </c>
      <c r="H83" s="16">
        <f>-SUMIF('1.3 FY2018'!$B:$B,'2.1 Database'!B83,'1.3 FY2018'!$F:$F)</f>
        <v>0</v>
      </c>
      <c r="J83" s="31" t="s">
        <v>220</v>
      </c>
      <c r="K83" s="2">
        <f>+COUNTIF('2.2 P&amp;L statement'!$B$4:$B$24,'2.1 Database'!J83)</f>
        <v>1</v>
      </c>
    </row>
    <row r="84" spans="2:11" x14ac:dyDescent="0.25">
      <c r="B84" s="2" t="s">
        <v>180</v>
      </c>
      <c r="C84" s="4" t="str">
        <f>VLOOKUP($B84,'1.2 FY2017'!$B$5:$E$86,2,FALSE)</f>
        <v>Misc extraordinary expenses</v>
      </c>
      <c r="D84" s="4" t="str">
        <f>VLOOKUP($B84,'1.2 FY2017'!$B$5:$E$86,3,FALSE)</f>
        <v>43</v>
      </c>
      <c r="E84" s="4" t="str">
        <f>VLOOKUP($B84,'1.2 FY2017'!$B$5:$E$86,4,FALSE)</f>
        <v>Greeny France SL</v>
      </c>
      <c r="F84" s="16">
        <f>-SUMIF('1.1 FY2016'!$B:$B,'2.1 Database'!B84,'1.1 FY2016'!$F:$F)</f>
        <v>0</v>
      </c>
      <c r="G84" s="16">
        <f>-SUMIF('1.2 FY2017'!$B:$B,'2.1 Database'!B84,'1.2 FY2017'!$F:$F)</f>
        <v>-11422.144999999999</v>
      </c>
      <c r="H84" s="16">
        <f>-SUMIF('1.3 FY2018'!$B:$B,'2.1 Database'!B84,'1.3 FY2018'!$F:$F)</f>
        <v>0</v>
      </c>
      <c r="J84" s="31" t="s">
        <v>220</v>
      </c>
      <c r="K84" s="2">
        <f>+COUNTIF('2.2 P&amp;L statement'!$B$4:$B$24,'2.1 Database'!J84)</f>
        <v>1</v>
      </c>
    </row>
    <row r="85" spans="2:11" x14ac:dyDescent="0.25">
      <c r="B85" s="2" t="s">
        <v>181</v>
      </c>
      <c r="C85" s="4" t="str">
        <f>VLOOKUP($B85,'1.2 FY2017'!$B$5:$E$86,2,FALSE)</f>
        <v>Misc extraordinary expenses</v>
      </c>
      <c r="D85" s="4" t="str">
        <f>VLOOKUP($B85,'1.2 FY2017'!$B$5:$E$86,3,FALSE)</f>
        <v>1924</v>
      </c>
      <c r="E85" s="4" t="str">
        <f>VLOOKUP($B85,'1.2 FY2017'!$B$5:$E$86,4,FALSE)</f>
        <v>Generco Infrastructure Ltd</v>
      </c>
      <c r="F85" s="16">
        <f>-SUMIF('1.1 FY2016'!$B:$B,'2.1 Database'!B85,'1.1 FY2016'!$F:$F)</f>
        <v>0</v>
      </c>
      <c r="G85" s="16">
        <f>-SUMIF('1.2 FY2017'!$B:$B,'2.1 Database'!B85,'1.2 FY2017'!$F:$F)</f>
        <v>-84438.864999999991</v>
      </c>
      <c r="H85" s="16">
        <f>-SUMIF('1.3 FY2018'!$B:$B,'2.1 Database'!B85,'1.3 FY2018'!$F:$F)</f>
        <v>0</v>
      </c>
      <c r="J85" s="31" t="s">
        <v>220</v>
      </c>
      <c r="K85" s="2">
        <f>+COUNTIF('2.2 P&amp;L statement'!$B$4:$B$24,'2.1 Database'!J85)</f>
        <v>1</v>
      </c>
    </row>
    <row r="86" spans="2:11" x14ac:dyDescent="0.25">
      <c r="B86" s="2" t="s">
        <v>182</v>
      </c>
      <c r="C86" s="4" t="str">
        <f>VLOOKUP($B86,'1.2 FY2017'!$B$5:$E$86,2,FALSE)</f>
        <v>Difference from eliminations</v>
      </c>
      <c r="D86" s="4" t="str">
        <f>VLOOKUP($B86,'1.2 FY2017'!$B$5:$E$86,3,FALSE)</f>
        <v>1086</v>
      </c>
      <c r="E86" s="4" t="str">
        <f>VLOOKUP($B86,'1.2 FY2017'!$B$5:$E$86,4,FALSE)</f>
        <v>G&amp;Resources Ltd</v>
      </c>
      <c r="F86" s="16">
        <f>-SUMIF('1.1 FY2016'!$B:$B,'2.1 Database'!B86,'1.1 FY2016'!$F:$F)</f>
        <v>0</v>
      </c>
      <c r="G86" s="16">
        <f>-SUMIF('1.2 FY2017'!$B:$B,'2.1 Database'!B86,'1.2 FY2017'!$F:$F)</f>
        <v>0</v>
      </c>
      <c r="H86" s="16">
        <f>-SUMIF('1.3 FY2018'!$B:$B,'2.1 Database'!B86,'1.3 FY2018'!$F:$F)</f>
        <v>0</v>
      </c>
      <c r="J86" s="31">
        <v>0</v>
      </c>
      <c r="K86" s="2">
        <f>+COUNTIF('2.2 P&amp;L statement'!$B$4:$B$24,'2.1 Database'!J86)</f>
        <v>0</v>
      </c>
    </row>
    <row r="87" spans="2:11" x14ac:dyDescent="0.25">
      <c r="B87" s="2" t="s">
        <v>183</v>
      </c>
      <c r="C87" s="4" t="str">
        <f>VLOOKUP($B87,'1.2 FY2017'!$B$5:$E$86,2,FALSE)</f>
        <v>Interest income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6">
        <f>-SUMIF('1.1 FY2016'!$B:$B,'2.1 Database'!B87,'1.1 FY2016'!$F:$F)</f>
        <v>0</v>
      </c>
      <c r="G87" s="16">
        <f>-SUMIF('1.2 FY2017'!$B:$B,'2.1 Database'!B87,'1.2 FY2017'!$F:$F)</f>
        <v>0</v>
      </c>
      <c r="H87" s="16">
        <f>-SUMIF('1.3 FY2018'!$B:$B,'2.1 Database'!B87,'1.3 FY2018'!$F:$F)</f>
        <v>0</v>
      </c>
      <c r="J87" s="31" t="s">
        <v>219</v>
      </c>
      <c r="K87" s="2">
        <f>+COUNTIF('2.2 P&amp;L statement'!$B$4:$B$24,'2.1 Database'!J87)</f>
        <v>1</v>
      </c>
    </row>
    <row r="88" spans="2:11" x14ac:dyDescent="0.25">
      <c r="B88" s="2" t="s">
        <v>184</v>
      </c>
      <c r="C88" s="4" t="str">
        <f>VLOOKUP($B88,'1.2 FY2017'!$B$5:$E$86,2,FALSE)</f>
        <v>Interest income</v>
      </c>
      <c r="D88" s="4">
        <f>VLOOKUP($B88,'1.2 FY2017'!$B$5:$E$86,3,FALSE)</f>
        <v>1006</v>
      </c>
      <c r="E88" s="4" t="str">
        <f>VLOOKUP($B88,'1.2 FY2017'!$B$5:$E$86,4,FALSE)</f>
        <v>Generco Mining GmbH</v>
      </c>
      <c r="F88" s="16">
        <f>-SUMIF('1.1 FY2016'!$B:$B,'2.1 Database'!B88,'1.1 FY2016'!$F:$F)</f>
        <v>0</v>
      </c>
      <c r="G88" s="16">
        <f>-SUMIF('1.2 FY2017'!$B:$B,'2.1 Database'!B88,'1.2 FY2017'!$F:$F)</f>
        <v>6778.415</v>
      </c>
      <c r="H88" s="16">
        <f>-SUMIF('1.3 FY2018'!$B:$B,'2.1 Database'!B88,'1.3 FY2018'!$F:$F)</f>
        <v>0</v>
      </c>
      <c r="J88" s="31" t="s">
        <v>219</v>
      </c>
      <c r="K88" s="2">
        <f>+COUNTIF('2.2 P&amp;L statement'!$B$4:$B$24,'2.1 Database'!J88)</f>
        <v>1</v>
      </c>
    </row>
    <row r="89" spans="2:11" x14ac:dyDescent="0.25">
      <c r="B89" s="2" t="s">
        <v>185</v>
      </c>
      <c r="C89" s="4" t="str">
        <f>VLOOKUP($B89,'1.2 FY2017'!$B$5:$E$86,2,FALSE)</f>
        <v>Interest expenses</v>
      </c>
      <c r="D89" s="4">
        <f>VLOOKUP($B89,'1.2 FY2017'!$B$5:$E$86,3,FALSE)</f>
        <v>1007</v>
      </c>
      <c r="E89" s="4" t="str">
        <f>VLOOKUP($B89,'1.2 FY2017'!$B$5:$E$86,4,FALSE)</f>
        <v>Generco Semiconductors Ltd</v>
      </c>
      <c r="F89" s="16">
        <f>-SUMIF('1.1 FY2016'!$B:$B,'2.1 Database'!B89,'1.1 FY2016'!$F:$F)</f>
        <v>0</v>
      </c>
      <c r="G89" s="16">
        <f>-SUMIF('1.2 FY2017'!$B:$B,'2.1 Database'!B89,'1.2 FY2017'!$F:$F)</f>
        <v>0</v>
      </c>
      <c r="H89" s="16">
        <f>-SUMIF('1.3 FY2018'!$B:$B,'2.1 Database'!B89,'1.3 FY2018'!$F:$F)</f>
        <v>0</v>
      </c>
      <c r="J89" s="31" t="s">
        <v>219</v>
      </c>
      <c r="K89" s="2">
        <f>+COUNTIF('2.2 P&amp;L statement'!$B$4:$B$24,'2.1 Database'!J89)</f>
        <v>1</v>
      </c>
    </row>
    <row r="90" spans="2:11" x14ac:dyDescent="0.25">
      <c r="B90" s="2" t="s">
        <v>186</v>
      </c>
      <c r="C90" s="4" t="str">
        <f>VLOOKUP($B90,'1.2 FY2017'!$B$5:$E$86,2,FALSE)</f>
        <v>Interest expenses</v>
      </c>
      <c r="D90" s="4">
        <f>VLOOKUP($B90,'1.2 FY2017'!$B$5:$E$86,3,FALSE)</f>
        <v>111111</v>
      </c>
      <c r="E90" s="4" t="str">
        <f>VLOOKUP($B90,'1.2 FY2017'!$B$5:$E$86,4,FALSE)</f>
        <v>External</v>
      </c>
      <c r="F90" s="16">
        <f>-SUMIF('1.1 FY2016'!$B:$B,'2.1 Database'!B90,'1.1 FY2016'!$F:$F)</f>
        <v>0</v>
      </c>
      <c r="G90" s="16">
        <f>-SUMIF('1.2 FY2017'!$B:$B,'2.1 Database'!B90,'1.2 FY2017'!$F:$F)</f>
        <v>-1250.7950000000001</v>
      </c>
      <c r="H90" s="16">
        <f>-SUMIF('1.3 FY2018'!$B:$B,'2.1 Database'!B90,'1.3 FY2018'!$F:$F)</f>
        <v>-51.454999999999998</v>
      </c>
      <c r="J90" s="31" t="s">
        <v>219</v>
      </c>
      <c r="K90" s="2">
        <f>+COUNTIF('2.2 P&amp;L statement'!$B$4:$B$24,'2.1 Database'!J90)</f>
        <v>1</v>
      </c>
    </row>
    <row r="91" spans="2:11" x14ac:dyDescent="0.25">
      <c r="B91" s="2" t="s">
        <v>187</v>
      </c>
      <c r="C91" s="4" t="str">
        <f>VLOOKUP($B91,'1.2 FY2017'!$B$5:$E$86,2,FALSE)</f>
        <v>Impairment of participation</v>
      </c>
      <c r="D91" s="4">
        <f>VLOOKUP($B91,'1.2 FY2017'!$B$5:$E$86,3,FALSE)</f>
        <v>1240</v>
      </c>
      <c r="E91" s="4" t="str">
        <f>VLOOKUP($B91,'1.2 FY2017'!$B$5:$E$86,4,FALSE)</f>
        <v xml:space="preserve">Generco UK </v>
      </c>
      <c r="F91" s="16">
        <f>-SUMIF('1.1 FY2016'!$B:$B,'2.1 Database'!B91,'1.1 FY2016'!$F:$F)</f>
        <v>0</v>
      </c>
      <c r="G91" s="16">
        <f>-SUMIF('1.2 FY2017'!$B:$B,'2.1 Database'!B91,'1.2 FY2017'!$F:$F)</f>
        <v>-4130000</v>
      </c>
      <c r="H91" s="16">
        <f>-SUMIF('1.3 FY2018'!$B:$B,'2.1 Database'!B91,'1.3 FY2018'!$F:$F)</f>
        <v>0</v>
      </c>
      <c r="J91" s="31" t="s">
        <v>220</v>
      </c>
      <c r="K91" s="2">
        <f>+COUNTIF('2.2 P&amp;L statement'!$B$4:$B$24,'2.1 Database'!J91)</f>
        <v>1</v>
      </c>
    </row>
    <row r="92" spans="2:11" x14ac:dyDescent="0.25">
      <c r="B92" s="2" t="s">
        <v>188</v>
      </c>
      <c r="C92" s="4" t="str">
        <f>VLOOKUP($B92,'1.2 FY2017'!$B$5:$E$86,2,FALSE)</f>
        <v>Quarterly changes in current taxes</v>
      </c>
      <c r="D92" s="4">
        <f>VLOOKUP($B92,'1.2 FY2017'!$B$5:$E$86,3,FALSE)</f>
        <v>111101</v>
      </c>
      <c r="E92" s="4" t="str">
        <f>VLOOKUP($B92,'1.2 FY2017'!$B$5:$E$86,4,FALSE)</f>
        <v>Not assigned</v>
      </c>
      <c r="F92" s="16">
        <f>-SUMIF('1.1 FY2016'!$B:$B,'2.1 Database'!B92,'1.1 FY2016'!$F:$F)</f>
        <v>0</v>
      </c>
      <c r="G92" s="16">
        <f>-SUMIF('1.2 FY2017'!$B:$B,'2.1 Database'!B92,'1.2 FY2017'!$F:$F)</f>
        <v>0</v>
      </c>
      <c r="H92" s="16">
        <f>-SUMIF('1.3 FY2018'!$B:$B,'2.1 Database'!B92,'1.3 FY2018'!$F:$F)</f>
        <v>0</v>
      </c>
      <c r="J92" s="31">
        <v>0</v>
      </c>
      <c r="K92" s="2">
        <f>+COUNTIF('2.2 P&amp;L statement'!$B$4:$B$24,'2.1 Database'!J92)</f>
        <v>0</v>
      </c>
    </row>
    <row r="93" spans="2:11" x14ac:dyDescent="0.25">
      <c r="B93" s="18" t="s">
        <v>189</v>
      </c>
      <c r="C93" s="4" t="str">
        <f>VLOOKUP($B93,'1.2 FY2017'!$B$5:$E$86,2,FALSE)</f>
        <v>Net income/(loss)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6">
        <f>SUMIF('1.1 FY2016'!$B:$B,'2.1 Database'!B93,'1.1 FY2016'!$F:$F)</f>
        <v>0</v>
      </c>
      <c r="G93" s="16">
        <f>SUMIF('1.2 FY2017'!$B:$B,'2.1 Database'!B93,'1.2 FY2017'!$F:$F)</f>
        <v>6073808.1600000001</v>
      </c>
      <c r="H93" s="16">
        <f>SUMIF('1.3 FY2018'!$B:$B,'2.1 Database'!B93,'1.3 FY2018'!$F:$F)</f>
        <v>-779290.47600000002</v>
      </c>
      <c r="J93" s="31" t="s">
        <v>231</v>
      </c>
      <c r="K93" s="2">
        <f>+COUNTIF('2.2 P&amp;L statement'!$B$4:$B$24,'2.1 Database'!J93)</f>
        <v>1</v>
      </c>
    </row>
    <row r="94" spans="2:11" x14ac:dyDescent="0.25">
      <c r="B94" s="2" t="s">
        <v>190</v>
      </c>
      <c r="C94" s="4" t="str">
        <f>+VLOOKUP($B94,'1.3 FY2018'!$B$5:$E$78,2,FALSE)</f>
        <v>Operating expenses for utilities</v>
      </c>
      <c r="D94" s="4">
        <f>+VLOOKUP($B94,'1.3 FY2018'!$B$5:$E$78,3,FALSE)</f>
        <v>111111</v>
      </c>
      <c r="E94" s="4" t="str">
        <f>+VLOOKUP($B94,'1.3 FY2018'!$B$5:$E$78,4,FALSE)</f>
        <v>External</v>
      </c>
      <c r="F94" s="16">
        <f>-SUMIF('1.1 FY2016'!$B:$B,'2.1 Database'!B94,'1.1 FY2016'!$F:$F)</f>
        <v>0</v>
      </c>
      <c r="G94" s="16">
        <f>-SUMIF('1.2 FY2017'!$B:$B,'2.1 Database'!B94,'1.2 FY2017'!$F:$F)</f>
        <v>0</v>
      </c>
      <c r="H94" s="16">
        <f>-SUMIF('1.3 FY2018'!$B:$B,'2.1 Database'!B94,'1.3 FY2018'!$F:$F)</f>
        <v>-13691.949999999999</v>
      </c>
      <c r="J94" s="31" t="s">
        <v>227</v>
      </c>
      <c r="K94" s="2">
        <f>+COUNTIF('2.2 P&amp;L statement'!$B$4:$B$24,'2.1 Database'!J94)</f>
        <v>1</v>
      </c>
    </row>
    <row r="95" spans="2:11" x14ac:dyDescent="0.25">
      <c r="B95" s="2" t="s">
        <v>191</v>
      </c>
      <c r="C95" s="4" t="str">
        <f>+VLOOKUP($B95,'1.3 FY2018'!$B$5:$E$78,2,FALSE)</f>
        <v>R&amp;D expenses</v>
      </c>
      <c r="D95" s="4" t="str">
        <f>+VLOOKUP($B95,'1.3 FY2018'!$B$5:$E$78,3,FALSE)</f>
        <v>2185</v>
      </c>
      <c r="E95" s="4" t="str">
        <f>+VLOOKUP($B95,'1.3 FY2018'!$B$5:$E$78,4,FALSE)</f>
        <v>Generco Green Projects GmbH</v>
      </c>
      <c r="F95" s="16">
        <f>-SUMIF('1.1 FY2016'!$B:$B,'2.1 Database'!B95,'1.1 FY2016'!$F:$F)</f>
        <v>0</v>
      </c>
      <c r="G95" s="16">
        <f>-SUMIF('1.2 FY2017'!$B:$B,'2.1 Database'!B95,'1.2 FY2017'!$F:$F)</f>
        <v>0</v>
      </c>
      <c r="H95" s="16">
        <f>-SUMIF('1.3 FY2018'!$B:$B,'2.1 Database'!B95,'1.3 FY2018'!$F:$F)</f>
        <v>-192017.14499999996</v>
      </c>
      <c r="J95" s="31" t="s">
        <v>227</v>
      </c>
      <c r="K95" s="2">
        <f>+COUNTIF('2.2 P&amp;L statement'!$B$4:$B$24,'2.1 Database'!J95)</f>
        <v>1</v>
      </c>
    </row>
    <row r="96" spans="2:11" x14ac:dyDescent="0.25">
      <c r="B96" s="2" t="s">
        <v>192</v>
      </c>
      <c r="C96" s="4" t="str">
        <f>+VLOOKUP($B96,'1.3 FY2018'!$B$5:$E$78,2,FALSE)</f>
        <v>R&amp;D expenses</v>
      </c>
      <c r="D96" s="4" t="str">
        <f>+VLOOKUP($B96,'1.3 FY2018'!$B$5:$E$78,3,FALSE)</f>
        <v>2240</v>
      </c>
      <c r="E96" s="4" t="str">
        <f>+VLOOKUP($B96,'1.3 FY2018'!$B$5:$E$78,4,FALSE)</f>
        <v>Greeny Germany GmbH</v>
      </c>
      <c r="F96" s="16">
        <f>-SUMIF('1.1 FY2016'!$B:$B,'2.1 Database'!B96,'1.1 FY2016'!$F:$F)</f>
        <v>0</v>
      </c>
      <c r="G96" s="16">
        <f>-SUMIF('1.2 FY2017'!$B:$B,'2.1 Database'!B96,'1.2 FY2017'!$F:$F)</f>
        <v>0</v>
      </c>
      <c r="H96" s="16">
        <f>-SUMIF('1.3 FY2018'!$B:$B,'2.1 Database'!B96,'1.3 FY2018'!$F:$F)</f>
        <v>-375290.46599999996</v>
      </c>
      <c r="J96" s="31" t="s">
        <v>227</v>
      </c>
      <c r="K96" s="2">
        <f>+COUNTIF('2.2 P&amp;L statement'!$B$4:$B$24,'2.1 Database'!J96)</f>
        <v>1</v>
      </c>
    </row>
    <row r="97" spans="2:11" x14ac:dyDescent="0.25">
      <c r="B97" s="2" t="s">
        <v>193</v>
      </c>
      <c r="C97" s="4" t="str">
        <f>+VLOOKUP($B97,'1.3 FY2018'!$B$5:$E$78,2,FALSE)</f>
        <v>R&amp;D expenses</v>
      </c>
      <c r="D97" s="4">
        <f>+VLOOKUP($B97,'1.3 FY2018'!$B$5:$E$78,3,FALSE)</f>
        <v>17000</v>
      </c>
      <c r="E97" s="4" t="str">
        <f>+VLOOKUP($B97,'1.3 FY2018'!$B$5:$E$78,4,FALSE)</f>
        <v>Generco Risk Management Ltd</v>
      </c>
      <c r="F97" s="16">
        <f>-SUMIF('1.1 FY2016'!$B:$B,'2.1 Database'!B97,'1.1 FY2016'!$F:$F)</f>
        <v>0</v>
      </c>
      <c r="G97" s="16">
        <f>-SUMIF('1.2 FY2017'!$B:$B,'2.1 Database'!B97,'1.2 FY2017'!$F:$F)</f>
        <v>0</v>
      </c>
      <c r="H97" s="16">
        <f>-SUMIF('1.3 FY2018'!$B:$B,'2.1 Database'!B97,'1.3 FY2018'!$F:$F)</f>
        <v>-4920</v>
      </c>
      <c r="J97" s="31" t="s">
        <v>227</v>
      </c>
      <c r="K97" s="2">
        <f>+COUNTIF('2.2 P&amp;L statement'!$B$4:$B$24,'2.1 Database'!J97)</f>
        <v>1</v>
      </c>
    </row>
    <row r="98" spans="2:11" x14ac:dyDescent="0.25">
      <c r="B98" s="2" t="s">
        <v>194</v>
      </c>
      <c r="C98" s="4" t="str">
        <f>+VLOOKUP($B98,'1.3 FY2018'!$B$5:$E$78,2,FALSE)</f>
        <v>Other operative currency differences</v>
      </c>
      <c r="D98" s="4" t="str">
        <f>+VLOOKUP($B98,'1.3 FY2018'!$B$5:$E$78,3,FALSE)</f>
        <v>1118</v>
      </c>
      <c r="E98" s="4" t="str">
        <f>+VLOOKUP($B98,'1.3 FY2018'!$B$5:$E$78,4,FALSE)</f>
        <v>Gener Green LLC</v>
      </c>
      <c r="F98" s="16">
        <f>-SUMIF('1.1 FY2016'!$B:$B,'2.1 Database'!B98,'1.1 FY2016'!$F:$F)</f>
        <v>0</v>
      </c>
      <c r="G98" s="16">
        <f>-SUMIF('1.2 FY2017'!$B:$B,'2.1 Database'!B98,'1.2 FY2017'!$F:$F)</f>
        <v>0</v>
      </c>
      <c r="H98" s="16">
        <f>-SUMIF('1.3 FY2018'!$B:$B,'2.1 Database'!B98,'1.3 FY2018'!$F:$F)</f>
        <v>0</v>
      </c>
      <c r="J98" s="31" t="s">
        <v>227</v>
      </c>
      <c r="K98" s="2">
        <f>+COUNTIF('2.2 P&amp;L statement'!$B$4:$B$24,'2.1 Database'!J98)</f>
        <v>1</v>
      </c>
    </row>
    <row r="99" spans="2:11" x14ac:dyDescent="0.25">
      <c r="B99" s="2" t="s">
        <v>195</v>
      </c>
      <c r="C99" s="4" t="str">
        <f>+VLOOKUP($B99,'1.3 FY2018'!$B$5:$E$78,2,FALSE)</f>
        <v>Other operative currency differences</v>
      </c>
      <c r="D99" s="4">
        <f>+VLOOKUP($B99,'1.3 FY2018'!$B$5:$E$78,3,FALSE)</f>
        <v>111111</v>
      </c>
      <c r="E99" s="4" t="str">
        <f>+VLOOKUP($B99,'1.3 FY2018'!$B$5:$E$78,4,FALSE)</f>
        <v>External</v>
      </c>
      <c r="F99" s="16">
        <f>-SUMIF('1.1 FY2016'!$B:$B,'2.1 Database'!B99,'1.1 FY2016'!$F:$F)</f>
        <v>0</v>
      </c>
      <c r="G99" s="16">
        <f>-SUMIF('1.2 FY2017'!$B:$B,'2.1 Database'!B99,'1.2 FY2017'!$F:$F)</f>
        <v>0</v>
      </c>
      <c r="H99" s="16">
        <f>-SUMIF('1.3 FY2018'!$B:$B,'2.1 Database'!B99,'1.3 FY2018'!$F:$F)</f>
        <v>1252.8369999999998</v>
      </c>
      <c r="J99" s="31" t="s">
        <v>227</v>
      </c>
      <c r="K99" s="2">
        <f>+COUNTIF('2.2 P&amp;L statement'!$B$4:$B$24,'2.1 Database'!J99)</f>
        <v>1</v>
      </c>
    </row>
    <row r="100" spans="2:11" x14ac:dyDescent="0.25">
      <c r="B100" s="2" t="s">
        <v>196</v>
      </c>
      <c r="C100" s="4" t="str">
        <f>+VLOOKUP($B100,'1.3 FY2018'!$B$5:$E$78,2,FALSE)</f>
        <v>Corporate recharges</v>
      </c>
      <c r="D100" s="4">
        <f>+VLOOKUP($B100,'1.3 FY2018'!$B$5:$E$78,3,FALSE)</f>
        <v>1006</v>
      </c>
      <c r="E100" s="4" t="str">
        <f>+VLOOKUP($B100,'1.3 FY2018'!$B$5:$E$78,4,FALSE)</f>
        <v>Generco Mining GmbH</v>
      </c>
      <c r="F100" s="16">
        <f>-SUMIF('1.1 FY2016'!$B:$B,'2.1 Database'!B100,'1.1 FY2016'!$F:$F)</f>
        <v>0</v>
      </c>
      <c r="G100" s="16">
        <f>-SUMIF('1.2 FY2017'!$B:$B,'2.1 Database'!B100,'1.2 FY2017'!$F:$F)</f>
        <v>0</v>
      </c>
      <c r="H100" s="16">
        <f>-SUMIF('1.3 FY2018'!$B:$B,'2.1 Database'!B100,'1.3 FY2018'!$F:$F)</f>
        <v>0</v>
      </c>
      <c r="J100" s="31" t="s">
        <v>215</v>
      </c>
      <c r="K100" s="2">
        <f>+COUNTIF('2.2 P&amp;L statement'!$B$4:$B$24,'2.1 Database'!J100)</f>
        <v>1</v>
      </c>
    </row>
    <row r="101" spans="2:11" x14ac:dyDescent="0.25">
      <c r="B101" s="2" t="s">
        <v>197</v>
      </c>
      <c r="C101" s="4" t="str">
        <f>+VLOOKUP($B101,'1.3 FY2018'!$B$5:$E$78,2,FALSE)</f>
        <v>Reimbursements+compensation for damages</v>
      </c>
      <c r="D101" s="4">
        <f>+VLOOKUP($B101,'1.3 FY2018'!$B$5:$E$78,3,FALSE)</f>
        <v>111111</v>
      </c>
      <c r="E101" s="4" t="str">
        <f>+VLOOKUP($B101,'1.3 FY2018'!$B$5:$E$78,4,FALSE)</f>
        <v>External</v>
      </c>
      <c r="F101" s="16">
        <f>-SUMIF('1.1 FY2016'!$B:$B,'2.1 Database'!B101,'1.1 FY2016'!$F:$F)</f>
        <v>0</v>
      </c>
      <c r="G101" s="16">
        <f>-SUMIF('1.2 FY2017'!$B:$B,'2.1 Database'!B101,'1.2 FY2017'!$F:$F)</f>
        <v>0</v>
      </c>
      <c r="H101" s="16">
        <f>-SUMIF('1.3 FY2018'!$B:$B,'2.1 Database'!B101,'1.3 FY2018'!$F:$F)</f>
        <v>61499.999999999993</v>
      </c>
      <c r="J101" s="31" t="s">
        <v>227</v>
      </c>
      <c r="K101" s="2">
        <f>+COUNTIF('2.2 P&amp;L statement'!$B$4:$B$24,'2.1 Database'!J101)</f>
        <v>1</v>
      </c>
    </row>
    <row r="102" spans="2:11" x14ac:dyDescent="0.25">
      <c r="B102" s="2" t="s">
        <v>198</v>
      </c>
      <c r="C102" s="4" t="str">
        <f>+VLOOKUP($B102,'1.3 FY2018'!$B$5:$E$78,2,FALSE)</f>
        <v>Other income</v>
      </c>
      <c r="D102" s="4">
        <f>+VLOOKUP($B102,'1.3 FY2018'!$B$5:$E$78,3,FALSE)</f>
        <v>105</v>
      </c>
      <c r="E102" s="4" t="str">
        <f>+VLOOKUP($B102,'1.3 FY2018'!$B$5:$E$78,4,FALSE)</f>
        <v>Generco Healthcare Ltd</v>
      </c>
      <c r="F102" s="16">
        <f>-SUMIF('1.1 FY2016'!$B:$B,'2.1 Database'!B102,'1.1 FY2016'!$F:$F)</f>
        <v>0</v>
      </c>
      <c r="G102" s="16">
        <f>-SUMIF('1.2 FY2017'!$B:$B,'2.1 Database'!B102,'1.2 FY2017'!$F:$F)</f>
        <v>0</v>
      </c>
      <c r="H102" s="16">
        <f>-SUMIF('1.3 FY2018'!$B:$B,'2.1 Database'!B102,'1.3 FY2018'!$F:$F)</f>
        <v>30913.425999999996</v>
      </c>
      <c r="J102" s="31" t="s">
        <v>71</v>
      </c>
      <c r="K102" s="2">
        <f>+COUNTIF('2.2 P&amp;L statement'!$B$4:$B$24,'2.1 Database'!J102)</f>
        <v>1</v>
      </c>
    </row>
    <row r="103" spans="2:11" x14ac:dyDescent="0.25">
      <c r="B103" s="2" t="s">
        <v>199</v>
      </c>
      <c r="C103" s="4" t="str">
        <f>+VLOOKUP($B103,'1.3 FY2018'!$B$5:$E$78,2,FALSE)</f>
        <v>Leasings</v>
      </c>
      <c r="D103" s="4">
        <f>+VLOOKUP($B103,'1.3 FY2018'!$B$5:$E$78,3,FALSE)</f>
        <v>105</v>
      </c>
      <c r="E103" s="4" t="str">
        <f>+VLOOKUP($B103,'1.3 FY2018'!$B$5:$E$78,4,FALSE)</f>
        <v>Generco Healthcare Ltd</v>
      </c>
      <c r="F103" s="16">
        <f>-SUMIF('1.1 FY2016'!$B:$B,'2.1 Database'!B103,'1.1 FY2016'!$F:$F)</f>
        <v>0</v>
      </c>
      <c r="G103" s="16">
        <f>-SUMIF('1.2 FY2017'!$B:$B,'2.1 Database'!B103,'1.2 FY2017'!$F:$F)</f>
        <v>0</v>
      </c>
      <c r="H103" s="16">
        <f>-SUMIF('1.3 FY2018'!$B:$B,'2.1 Database'!B103,'1.3 FY2018'!$F:$F)</f>
        <v>1423120</v>
      </c>
      <c r="J103" s="31" t="s">
        <v>216</v>
      </c>
      <c r="K103" s="2">
        <f>+COUNTIF('2.2 P&amp;L statement'!$B$4:$B$24,'2.1 Database'!J103)</f>
        <v>1</v>
      </c>
    </row>
    <row r="104" spans="2:11" x14ac:dyDescent="0.25">
      <c r="B104" s="2" t="s">
        <v>200</v>
      </c>
      <c r="C104" s="4" t="str">
        <f>+VLOOKUP($B104,'1.3 FY2018'!$B$5:$E$78,2,FALSE)</f>
        <v>Insurance expenses</v>
      </c>
      <c r="D104" s="4">
        <f>+VLOOKUP($B104,'1.3 FY2018'!$B$5:$E$78,3,FALSE)</f>
        <v>88</v>
      </c>
      <c r="E104" s="4" t="str">
        <f>+VLOOKUP($B104,'1.3 FY2018'!$B$5:$E$78,4,FALSE)</f>
        <v>Generco Ltd</v>
      </c>
      <c r="F104" s="16">
        <f>-SUMIF('1.1 FY2016'!$B:$B,'2.1 Database'!B104,'1.1 FY2016'!$F:$F)</f>
        <v>0</v>
      </c>
      <c r="G104" s="16">
        <f>-SUMIF('1.2 FY2017'!$B:$B,'2.1 Database'!B104,'1.2 FY2017'!$F:$F)</f>
        <v>0</v>
      </c>
      <c r="H104" s="16">
        <f>-SUMIF('1.3 FY2018'!$B:$B,'2.1 Database'!B104,'1.3 FY2018'!$F:$F)</f>
        <v>-584.66</v>
      </c>
      <c r="J104" s="31" t="s">
        <v>227</v>
      </c>
      <c r="K104" s="2">
        <f>+COUNTIF('2.2 P&amp;L statement'!$B$4:$B$24,'2.1 Database'!J104)</f>
        <v>1</v>
      </c>
    </row>
    <row r="105" spans="2:11" x14ac:dyDescent="0.25">
      <c r="B105" s="2" t="s">
        <v>201</v>
      </c>
      <c r="C105" s="4" t="str">
        <f>+VLOOKUP($B105,'1.3 FY2018'!$B$5:$E$78,2,FALSE)</f>
        <v>Repairs/Maintenance costs</v>
      </c>
      <c r="D105" s="4">
        <f>+VLOOKUP($B105,'1.3 FY2018'!$B$5:$E$78,3,FALSE)</f>
        <v>111111</v>
      </c>
      <c r="E105" s="4" t="str">
        <f>+VLOOKUP($B105,'1.3 FY2018'!$B$5:$E$78,4,FALSE)</f>
        <v>External</v>
      </c>
      <c r="F105" s="16">
        <f>-SUMIF('1.1 FY2016'!$B:$B,'2.1 Database'!B105,'1.1 FY2016'!$F:$F)</f>
        <v>0</v>
      </c>
      <c r="G105" s="16">
        <f>-SUMIF('1.2 FY2017'!$B:$B,'2.1 Database'!B105,'1.2 FY2017'!$F:$F)</f>
        <v>0</v>
      </c>
      <c r="H105" s="16">
        <f>-SUMIF('1.3 FY2018'!$B:$B,'2.1 Database'!B105,'1.3 FY2018'!$F:$F)</f>
        <v>-1352.9999999999998</v>
      </c>
      <c r="J105" s="31" t="s">
        <v>227</v>
      </c>
      <c r="K105" s="2">
        <f>+COUNTIF('2.2 P&amp;L statement'!$B$4:$B$24,'2.1 Database'!J105)</f>
        <v>1</v>
      </c>
    </row>
    <row r="106" spans="2:11" x14ac:dyDescent="0.25">
      <c r="B106" s="2" t="s">
        <v>202</v>
      </c>
      <c r="C106" s="4" t="str">
        <f>+VLOOKUP($B106,'1.3 FY2018'!$B$5:$E$78,2,FALSE)</f>
        <v>Impairment of participation</v>
      </c>
      <c r="D106" s="4">
        <f>+VLOOKUP($B106,'1.3 FY2018'!$B$5:$E$78,3,FALSE)</f>
        <v>111101</v>
      </c>
      <c r="E106" s="4" t="str">
        <f>+VLOOKUP($B106,'1.3 FY2018'!$B$5:$E$78,4,FALSE)</f>
        <v>Not assigned</v>
      </c>
      <c r="F106" s="16">
        <f>-SUMIF('1.1 FY2016'!$B:$B,'2.1 Database'!B106,'1.1 FY2016'!$F:$F)</f>
        <v>0</v>
      </c>
      <c r="G106" s="16">
        <f>-SUMIF('1.2 FY2017'!$B:$B,'2.1 Database'!B106,'1.2 FY2017'!$F:$F)</f>
        <v>0</v>
      </c>
      <c r="H106" s="16">
        <f>-SUMIF('1.3 FY2018'!$B:$B,'2.1 Database'!B106,'1.3 FY2018'!$F:$F)</f>
        <v>0</v>
      </c>
      <c r="J106" s="31">
        <v>0</v>
      </c>
      <c r="K106" s="2">
        <f>+COUNTIF('2.2 P&amp;L statement'!$B$4:$B$24,'2.1 Database'!J106)</f>
        <v>0</v>
      </c>
    </row>
    <row r="107" spans="2:11" x14ac:dyDescent="0.25">
      <c r="B107" s="2" t="s">
        <v>203</v>
      </c>
      <c r="C107" s="4" t="str">
        <f>+VLOOKUP($B107,'1.3 FY2018'!$B$5:$E$78,2,FALSE)</f>
        <v>Offset segments (tech.)</v>
      </c>
      <c r="D107" s="4">
        <f>+VLOOKUP($B107,'1.3 FY2018'!$B$5:$E$78,3,FALSE)</f>
        <v>111101</v>
      </c>
      <c r="E107" s="4" t="str">
        <f>+VLOOKUP($B107,'1.3 FY2018'!$B$5:$E$78,4,FALSE)</f>
        <v>Not assigned</v>
      </c>
      <c r="F107" s="16">
        <f>-SUMIF('1.1 FY2016'!$B:$B,'2.1 Database'!B107,'1.1 FY2016'!$F:$F)</f>
        <v>0</v>
      </c>
      <c r="G107" s="16">
        <f>-SUMIF('1.2 FY2017'!$B:$B,'2.1 Database'!B107,'1.2 FY2017'!$F:$F)</f>
        <v>0</v>
      </c>
      <c r="H107" s="16">
        <f>-SUMIF('1.3 FY2018'!$B:$B,'2.1 Database'!B107,'1.3 FY2018'!$F:$F)</f>
        <v>0</v>
      </c>
      <c r="J107" s="31">
        <v>0</v>
      </c>
      <c r="K107" s="2">
        <f>+COUNTIF('2.2 P&amp;L statement'!$B$4:$B$24,'2.1 Database'!J107)</f>
        <v>0</v>
      </c>
    </row>
    <row r="108" spans="2:11" ht="14.5" x14ac:dyDescent="0.35">
      <c r="B108"/>
      <c r="J108" s="22" t="s">
        <v>100</v>
      </c>
      <c r="K108" s="2" t="s">
        <v>100</v>
      </c>
    </row>
    <row r="109" spans="2:11" ht="14.5" x14ac:dyDescent="0.35">
      <c r="B109"/>
    </row>
    <row r="110" spans="2:11" ht="14.5" x14ac:dyDescent="0.35">
      <c r="B110"/>
    </row>
    <row r="111" spans="2:11" ht="14.5" x14ac:dyDescent="0.35">
      <c r="B111"/>
    </row>
    <row r="112" spans="2:11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  <row r="216" spans="2:2" ht="14.5" x14ac:dyDescent="0.3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workbookViewId="0">
      <selection activeCell="C4" sqref="C4"/>
    </sheetView>
  </sheetViews>
  <sheetFormatPr defaultColWidth="9.08984375" defaultRowHeight="12" customHeight="1" outlineLevelRow="1" x14ac:dyDescent="0.25"/>
  <cols>
    <col min="1" max="1" width="2" style="2" customWidth="1"/>
    <col min="2" max="2" width="22.90625" style="2" bestFit="1" customWidth="1"/>
    <col min="3" max="3" width="12.453125" style="2" bestFit="1" customWidth="1"/>
    <col min="4" max="5" width="9.08984375" style="2"/>
    <col min="6" max="6" width="2" style="2" customWidth="1"/>
    <col min="7" max="16384" width="9.08984375" style="2"/>
  </cols>
  <sheetData>
    <row r="1" spans="1:10" s="16" customFormat="1" ht="15.5" x14ac:dyDescent="0.35">
      <c r="A1" s="2"/>
      <c r="B1" s="3" t="s">
        <v>92</v>
      </c>
      <c r="C1" s="2"/>
    </row>
    <row r="2" spans="1:10" s="16" customFormat="1" ht="11.5" x14ac:dyDescent="0.25">
      <c r="A2" s="2"/>
      <c r="B2" s="2"/>
      <c r="C2" s="2"/>
    </row>
    <row r="3" spans="1:10" s="16" customFormat="1" ht="35" thickBot="1" x14ac:dyDescent="0.3">
      <c r="A3" s="2"/>
      <c r="B3" s="26" t="s">
        <v>232</v>
      </c>
      <c r="C3" s="15" t="s">
        <v>247</v>
      </c>
      <c r="D3" s="30" t="s">
        <v>248</v>
      </c>
      <c r="E3" s="30" t="s">
        <v>249</v>
      </c>
      <c r="G3" s="40" t="s">
        <v>250</v>
      </c>
      <c r="H3" s="40" t="s">
        <v>251</v>
      </c>
      <c r="J3" s="39" t="s">
        <v>235</v>
      </c>
    </row>
    <row r="4" spans="1:10" s="16" customFormat="1" ht="12" customHeight="1" x14ac:dyDescent="0.25">
      <c r="A4" s="2"/>
      <c r="B4" s="16" t="s">
        <v>213</v>
      </c>
      <c r="C4" s="32">
        <f>+SUMIF('2.1 Database'!$J:$J,'2.2 P&amp;L statement'!$B4,'2.1 Database'!F:F)/1000000</f>
        <v>14.500341000000001</v>
      </c>
      <c r="D4" s="32">
        <f>+SUMIF('2.1 Database'!$J:$J,'2.2 P&amp;L statement'!$B4,'2.1 Database'!G:G)/1000000</f>
        <v>16.148295364999999</v>
      </c>
      <c r="E4" s="32">
        <f>+SUMIF('2.1 Database'!$J:$J,'2.2 P&amp;L statement'!$B4,'2.1 Database'!H:H)/1000000</f>
        <v>15.047803019</v>
      </c>
      <c r="G4" s="41">
        <f>+IF(ISERROR((D4/C4)-1),"n.a.",IF(((D4/C4)-1)&gt;1,"&gt;100.0%",IF(((D4/C4)-1)&lt;-1,"&lt;-100.0%",((D4/C4)-1))))</f>
        <v>0.11364935245315944</v>
      </c>
      <c r="H4" s="41">
        <f>+IF(ISERROR((E4/D4)-1),"n.a.",IF(((E4/D4)-1)&gt;1,"&gt;100.0%",IF(((E4/D4)-1)&lt;-1,"&lt;-100.0%",((E4/D4)-1))))</f>
        <v>-6.8149134080444096E-2</v>
      </c>
      <c r="J4" s="16" t="s">
        <v>234</v>
      </c>
    </row>
    <row r="5" spans="1:10" s="16" customFormat="1" ht="12" customHeight="1" x14ac:dyDescent="0.25">
      <c r="A5" s="2"/>
      <c r="B5" s="16" t="s">
        <v>63</v>
      </c>
      <c r="C5" s="32">
        <f>+SUMIF('2.1 Database'!$J:$J,'2.2 P&amp;L statement'!$B5,'2.1 Database'!F:F)/1000000</f>
        <v>4.7948561920000001</v>
      </c>
      <c r="D5" s="32">
        <f>+SUMIF('2.1 Database'!$J:$J,'2.2 P&amp;L statement'!$B5,'2.1 Database'!G:G)/1000000</f>
        <v>6.9602176449999993</v>
      </c>
      <c r="E5" s="32">
        <f>+SUMIF('2.1 Database'!$J:$J,'2.2 P&amp;L statement'!$B5,'2.1 Database'!H:H)/1000000</f>
        <v>6.3736175140000002</v>
      </c>
      <c r="G5" s="41">
        <f t="shared" ref="G5:G24" si="0">+IF(ISERROR((D5/C5)-1),"n.a.",IF(((D5/C5)-1)&gt;1,"&gt;100.0%",IF(((D5/C5)-1)&lt;-1,"&lt;-100.0%",((D5/C5)-1))))</f>
        <v>0.45160091696030569</v>
      </c>
      <c r="H5" s="41">
        <f t="shared" ref="H5:H24" si="1">+IF(ISERROR((E5/D5)-1),"n.a.",IF(((E5/D5)-1)&gt;1,"&gt;100.0%",IF(((E5/D5)-1)&lt;-1,"&lt;-100.0%",((E5/D5)-1))))</f>
        <v>-8.4278992542911935E-2</v>
      </c>
    </row>
    <row r="6" spans="1:10" s="16" customFormat="1" ht="12" customHeight="1" x14ac:dyDescent="0.25">
      <c r="A6" s="2"/>
      <c r="B6" s="16" t="s">
        <v>215</v>
      </c>
      <c r="C6" s="32">
        <f>+SUMIF('2.1 Database'!$J:$J,'2.2 P&amp;L statement'!$B6,'2.1 Database'!F:F)/1000000</f>
        <v>3.2200542519999997</v>
      </c>
      <c r="D6" s="32">
        <f>+SUMIF('2.1 Database'!$J:$J,'2.2 P&amp;L statement'!$B6,'2.1 Database'!G:G)/1000000</f>
        <v>2.9240919949999999</v>
      </c>
      <c r="E6" s="32">
        <f>+SUMIF('2.1 Database'!$J:$J,'2.2 P&amp;L statement'!$B6,'2.1 Database'!H:H)/1000000</f>
        <v>4.8931777299999997</v>
      </c>
      <c r="G6" s="41">
        <f t="shared" si="0"/>
        <v>-9.1912195832158816E-2</v>
      </c>
      <c r="H6" s="41">
        <f t="shared" si="1"/>
        <v>0.67340074743441836</v>
      </c>
    </row>
    <row r="7" spans="1:10" s="16" customFormat="1" ht="12" customHeight="1" x14ac:dyDescent="0.25">
      <c r="A7" s="2"/>
      <c r="B7" s="27" t="s">
        <v>225</v>
      </c>
      <c r="C7" s="33">
        <f>+SUM(C4:C6)</f>
        <v>22.515251444</v>
      </c>
      <c r="D7" s="33">
        <f>+SUM(D4:D6)</f>
        <v>26.032605005000001</v>
      </c>
      <c r="E7" s="33">
        <f>+SUM(E4:E6)</f>
        <v>26.314598263000001</v>
      </c>
      <c r="G7" s="42">
        <f t="shared" si="0"/>
        <v>0.15622093183140207</v>
      </c>
      <c r="H7" s="42">
        <f t="shared" si="1"/>
        <v>1.0832310402506318E-2</v>
      </c>
    </row>
    <row r="8" spans="1:10" s="16" customFormat="1" ht="12" customHeight="1" x14ac:dyDescent="0.25">
      <c r="A8" s="2"/>
      <c r="B8" s="16" t="s">
        <v>224</v>
      </c>
      <c r="C8" s="32">
        <f>+SUMIF('2.1 Database'!$J:$J,'2.2 P&amp;L statement'!$B8,'2.1 Database'!F:F)/1000000</f>
        <v>-4.4289117640000004</v>
      </c>
      <c r="D8" s="32">
        <f>+SUMIF('2.1 Database'!$J:$J,'2.2 P&amp;L statement'!$B8,'2.1 Database'!G:G)/1000000</f>
        <v>-5.4631888250000005</v>
      </c>
      <c r="E8" s="32">
        <f>+SUMIF('2.1 Database'!$J:$J,'2.2 P&amp;L statement'!$B8,'2.1 Database'!H:H)/1000000</f>
        <v>-5.6741520669999996</v>
      </c>
      <c r="G8" s="41">
        <f t="shared" si="0"/>
        <v>0.23352848647991253</v>
      </c>
      <c r="H8" s="41">
        <f t="shared" si="1"/>
        <v>3.861540370609462E-2</v>
      </c>
    </row>
    <row r="9" spans="1:10" s="16" customFormat="1" ht="12" customHeight="1" x14ac:dyDescent="0.25">
      <c r="A9" s="2"/>
      <c r="B9" s="27" t="s">
        <v>226</v>
      </c>
      <c r="C9" s="33">
        <f>+SUM(C7:C8)</f>
        <v>18.086339680000002</v>
      </c>
      <c r="D9" s="33">
        <f>+SUM(D7:D8)</f>
        <v>20.569416180000001</v>
      </c>
      <c r="E9" s="33">
        <f>+SUM(E7:E8)</f>
        <v>20.640446195999999</v>
      </c>
      <c r="G9" s="42">
        <f t="shared" si="0"/>
        <v>0.13729016174266606</v>
      </c>
      <c r="H9" s="42">
        <f t="shared" si="1"/>
        <v>3.4531858064625887E-3</v>
      </c>
    </row>
    <row r="10" spans="1:10" s="16" customFormat="1" ht="12" customHeight="1" x14ac:dyDescent="0.25">
      <c r="A10" s="2"/>
      <c r="B10" s="16" t="s">
        <v>227</v>
      </c>
      <c r="C10" s="32">
        <f>+SUMIF('2.1 Database'!$J:$J,'2.2 P&amp;L statement'!$B10,'2.1 Database'!F:F)/1000000</f>
        <v>-3.3966489799999997</v>
      </c>
      <c r="D10" s="32">
        <f>+SUMIF('2.1 Database'!$J:$J,'2.2 P&amp;L statement'!$B10,'2.1 Database'!G:G)/1000000</f>
        <v>-3.7048433449999996</v>
      </c>
      <c r="E10" s="32">
        <f>+SUMIF('2.1 Database'!$J:$J,'2.2 P&amp;L statement'!$B10,'2.1 Database'!H:H)/1000000</f>
        <v>-6.6874830379999999</v>
      </c>
      <c r="G10" s="41">
        <f t="shared" si="0"/>
        <v>9.0734829184498045E-2</v>
      </c>
      <c r="H10" s="41">
        <f t="shared" si="1"/>
        <v>0.80506499607475335</v>
      </c>
    </row>
    <row r="11" spans="1:10" s="16" customFormat="1" ht="12" customHeight="1" x14ac:dyDescent="0.25">
      <c r="A11" s="2"/>
      <c r="B11" s="16" t="s">
        <v>214</v>
      </c>
      <c r="C11" s="32">
        <f>+SUMIF('2.1 Database'!$J:$J,'2.2 P&amp;L statement'!$B11,'2.1 Database'!F:F)/1000000</f>
        <v>-6.17073904</v>
      </c>
      <c r="D11" s="32">
        <f>+SUMIF('2.1 Database'!$J:$J,'2.2 P&amp;L statement'!$B11,'2.1 Database'!G:G)/1000000</f>
        <v>-8.0718589449999989</v>
      </c>
      <c r="E11" s="32">
        <f>+SUMIF('2.1 Database'!$J:$J,'2.2 P&amp;L statement'!$B11,'2.1 Database'!H:H)/1000000</f>
        <v>-5.8358881759999992</v>
      </c>
      <c r="G11" s="41">
        <f t="shared" si="0"/>
        <v>0.30808625882192531</v>
      </c>
      <c r="H11" s="41">
        <f t="shared" si="1"/>
        <v>-0.27700815688622027</v>
      </c>
    </row>
    <row r="12" spans="1:10" s="16" customFormat="1" ht="12" customHeight="1" x14ac:dyDescent="0.25">
      <c r="A12" s="2"/>
      <c r="B12" s="16" t="s">
        <v>216</v>
      </c>
      <c r="C12" s="32">
        <f>+SUMIF('2.1 Database'!$J:$J,'2.2 P&amp;L statement'!$B12,'2.1 Database'!F:F)/1000000</f>
        <v>-1.127445872</v>
      </c>
      <c r="D12" s="32">
        <f>+SUMIF('2.1 Database'!$J:$J,'2.2 P&amp;L statement'!$B12,'2.1 Database'!G:G)/1000000</f>
        <v>-1.0553814750000001</v>
      </c>
      <c r="E12" s="32">
        <f>+SUMIF('2.1 Database'!$J:$J,'2.2 P&amp;L statement'!$B12,'2.1 Database'!H:H)/1000000</f>
        <v>1.596053449</v>
      </c>
      <c r="G12" s="41">
        <f t="shared" si="0"/>
        <v>-6.391827651305626E-2</v>
      </c>
      <c r="H12" s="41" t="str">
        <f t="shared" si="1"/>
        <v>&lt;-100.0%</v>
      </c>
    </row>
    <row r="13" spans="1:10" s="16" customFormat="1" ht="12" customHeight="1" x14ac:dyDescent="0.25">
      <c r="A13" s="2"/>
      <c r="B13" s="16" t="s">
        <v>217</v>
      </c>
      <c r="C13" s="32">
        <f>+SUMIF('2.1 Database'!$J:$J,'2.2 P&amp;L statement'!$B13,'2.1 Database'!F:F)/1000000</f>
        <v>-2.5430882079999995</v>
      </c>
      <c r="D13" s="32">
        <f>+SUMIF('2.1 Database'!$J:$J,'2.2 P&amp;L statement'!$B13,'2.1 Database'!G:G)/1000000</f>
        <v>-1.837786345</v>
      </c>
      <c r="E13" s="32">
        <f>+SUMIF('2.1 Database'!$J:$J,'2.2 P&amp;L statement'!$B13,'2.1 Database'!H:H)/1000000</f>
        <v>-1.9549839309999999</v>
      </c>
      <c r="G13" s="41">
        <f t="shared" si="0"/>
        <v>-0.27734069969782171</v>
      </c>
      <c r="H13" s="41">
        <f t="shared" si="1"/>
        <v>6.3771061483210545E-2</v>
      </c>
    </row>
    <row r="14" spans="1:10" s="16" customFormat="1" ht="12" customHeight="1" x14ac:dyDescent="0.25">
      <c r="A14" s="2"/>
      <c r="B14" s="16" t="s">
        <v>218</v>
      </c>
      <c r="C14" s="32">
        <f>+SUMIF('2.1 Database'!$J:$J,'2.2 P&amp;L statement'!$B14,'2.1 Database'!F:F)/1000000</f>
        <v>-1.8135250039999999</v>
      </c>
      <c r="D14" s="32">
        <f>+SUMIF('2.1 Database'!$J:$J,'2.2 P&amp;L statement'!$B14,'2.1 Database'!G:G)/1000000</f>
        <v>-2.3932591899999998</v>
      </c>
      <c r="E14" s="32">
        <f>+SUMIF('2.1 Database'!$J:$J,'2.2 P&amp;L statement'!$B14,'2.1 Database'!H:H)/1000000</f>
        <v>-2.5144318869999998</v>
      </c>
      <c r="G14" s="41">
        <f t="shared" si="0"/>
        <v>0.31967256294857238</v>
      </c>
      <c r="H14" s="41">
        <f t="shared" si="1"/>
        <v>5.0630829082912721E-2</v>
      </c>
    </row>
    <row r="15" spans="1:10" s="16" customFormat="1" ht="12" customHeight="1" x14ac:dyDescent="0.25">
      <c r="A15" s="2"/>
      <c r="B15" s="16" t="s">
        <v>71</v>
      </c>
      <c r="C15" s="32">
        <f>+SUMIF('2.1 Database'!$J:$J,'2.2 P&amp;L statement'!$B15,'2.1 Database'!F:F)/1000000</f>
        <v>5.7221999999999995E-5</v>
      </c>
      <c r="D15" s="32">
        <f>+SUMIF('2.1 Database'!$J:$J,'2.2 P&amp;L statement'!$B15,'2.1 Database'!G:G)/1000000</f>
        <v>-7.3574899999999995E-3</v>
      </c>
      <c r="E15" s="32">
        <f>+SUMIF('2.1 Database'!$J:$J,'2.2 P&amp;L statement'!$B15,'2.1 Database'!H:H)/1000000</f>
        <v>4.678542799999999E-2</v>
      </c>
      <c r="G15" s="41" t="str">
        <f t="shared" si="0"/>
        <v>&lt;-100.0%</v>
      </c>
      <c r="H15" s="41" t="str">
        <f t="shared" si="1"/>
        <v>&lt;-100.0%</v>
      </c>
    </row>
    <row r="16" spans="1:10" s="16" customFormat="1" ht="12" customHeight="1" x14ac:dyDescent="0.25">
      <c r="A16" s="2"/>
      <c r="B16" s="16" t="s">
        <v>64</v>
      </c>
      <c r="C16" s="32">
        <f>+SUMIF('2.1 Database'!$J:$J,'2.2 P&amp;L statement'!$B16,'2.1 Database'!F:F)/1000000</f>
        <v>5.2683321979999995</v>
      </c>
      <c r="D16" s="32">
        <f>+SUMIF('2.1 Database'!$J:$J,'2.2 P&amp;L statement'!$B16,'2.1 Database'!G:G)/1000000</f>
        <v>0.74482694999999999</v>
      </c>
      <c r="E16" s="32">
        <f>+SUMIF('2.1 Database'!$J:$J,'2.2 P&amp;L statement'!$B16,'2.1 Database'!H:H)/1000000</f>
        <v>0</v>
      </c>
      <c r="G16" s="41">
        <f t="shared" si="0"/>
        <v>-0.85862187082986985</v>
      </c>
      <c r="H16" s="41">
        <f t="shared" si="1"/>
        <v>-1</v>
      </c>
    </row>
    <row r="17" spans="1:8" s="16" customFormat="1" ht="12" customHeight="1" x14ac:dyDescent="0.25">
      <c r="A17" s="2"/>
      <c r="B17" s="28" t="s">
        <v>228</v>
      </c>
      <c r="C17" s="34">
        <f>+SUM(C9:C16)</f>
        <v>8.3032819960000026</v>
      </c>
      <c r="D17" s="34">
        <f>+SUM(D9:D16)</f>
        <v>4.2437563400000018</v>
      </c>
      <c r="E17" s="34">
        <f>+SUM(E9:E16)</f>
        <v>5.2904980409999993</v>
      </c>
      <c r="G17" s="43">
        <f t="shared" si="0"/>
        <v>-0.48890615276653548</v>
      </c>
      <c r="H17" s="43">
        <f t="shared" si="1"/>
        <v>0.24665452423217982</v>
      </c>
    </row>
    <row r="18" spans="1:8" s="16" customFormat="1" ht="12" customHeight="1" x14ac:dyDescent="0.25">
      <c r="A18" s="2"/>
      <c r="B18" s="16" t="s">
        <v>69</v>
      </c>
      <c r="C18" s="32">
        <f>+SUMIF('2.1 Database'!$J:$J,'2.2 P&amp;L statement'!$B18,'2.1 Database'!F:F)/1000000</f>
        <v>-2.045243514</v>
      </c>
      <c r="D18" s="32">
        <f>+SUMIF('2.1 Database'!$J:$J,'2.2 P&amp;L statement'!$B18,'2.1 Database'!G:G)/1000000</f>
        <v>-2.0440058150000002</v>
      </c>
      <c r="E18" s="32">
        <f>+SUMIF('2.1 Database'!$J:$J,'2.2 P&amp;L statement'!$B18,'2.1 Database'!H:H)/1000000</f>
        <v>-1.8883615140000001</v>
      </c>
      <c r="F18" s="25"/>
      <c r="G18" s="41">
        <f t="shared" si="0"/>
        <v>-6.0515972378227811E-4</v>
      </c>
      <c r="H18" s="41">
        <f t="shared" si="1"/>
        <v>-7.6146701666795491E-2</v>
      </c>
    </row>
    <row r="19" spans="1:8" s="16" customFormat="1" ht="12" customHeight="1" x14ac:dyDescent="0.25">
      <c r="A19" s="2"/>
      <c r="B19" s="27" t="s">
        <v>229</v>
      </c>
      <c r="C19" s="33">
        <f>+SUM(C17:C18)</f>
        <v>6.2580384820000026</v>
      </c>
      <c r="D19" s="33">
        <f>+SUM(D17:D18)</f>
        <v>2.1997505250000016</v>
      </c>
      <c r="E19" s="33">
        <f>+SUM(E17:E18)</f>
        <v>3.4021365269999992</v>
      </c>
      <c r="G19" s="42">
        <f t="shared" si="0"/>
        <v>-0.64849201050342775</v>
      </c>
      <c r="H19" s="42">
        <f t="shared" si="1"/>
        <v>0.54660107513782585</v>
      </c>
    </row>
    <row r="20" spans="1:8" s="16" customFormat="1" ht="12" customHeight="1" x14ac:dyDescent="0.25">
      <c r="A20" s="2"/>
      <c r="B20" s="16" t="s">
        <v>219</v>
      </c>
      <c r="C20" s="32">
        <f>+SUMIF('2.1 Database'!$J:$J,'2.2 P&amp;L statement'!$B20,'2.1 Database'!F:F)/1000000</f>
        <v>-2.8426923660000001</v>
      </c>
      <c r="D20" s="32">
        <f>+SUMIF('2.1 Database'!$J:$J,'2.2 P&amp;L statement'!$B20,'2.1 Database'!G:G)/1000000</f>
        <v>-2.7107469200000001</v>
      </c>
      <c r="E20" s="32">
        <f>+SUMIF('2.1 Database'!$J:$J,'2.2 P&amp;L statement'!$B20,'2.1 Database'!H:H)/1000000</f>
        <v>-2.250707829</v>
      </c>
      <c r="G20" s="41">
        <f t="shared" si="0"/>
        <v>-4.6415661285805099E-2</v>
      </c>
      <c r="H20" s="41">
        <f t="shared" si="1"/>
        <v>-0.16970934748862498</v>
      </c>
    </row>
    <row r="21" spans="1:8" s="16" customFormat="1" ht="12" customHeight="1" x14ac:dyDescent="0.25">
      <c r="A21" s="2"/>
      <c r="B21" s="16" t="s">
        <v>220</v>
      </c>
      <c r="C21" s="32">
        <f>+SUMIF('2.1 Database'!$J:$J,'2.2 P&amp;L statement'!$B21,'2.1 Database'!F:F)/1000000</f>
        <v>-2.2762999999999999E-2</v>
      </c>
      <c r="D21" s="32">
        <f>+SUMIF('2.1 Database'!$J:$J,'2.2 P&amp;L statement'!$B21,'2.1 Database'!G:G)/1000000</f>
        <v>-4.5786198000000002</v>
      </c>
      <c r="E21" s="32">
        <f>+SUMIF('2.1 Database'!$J:$J,'2.2 P&amp;L statement'!$B21,'2.1 Database'!H:H)/1000000</f>
        <v>-7.1731959999999989E-3</v>
      </c>
      <c r="G21" s="41" t="str">
        <f t="shared" si="0"/>
        <v>&gt;100.0%</v>
      </c>
      <c r="H21" s="41">
        <f t="shared" si="1"/>
        <v>-0.99843332787754069</v>
      </c>
    </row>
    <row r="22" spans="1:8" s="16" customFormat="1" ht="12" customHeight="1" x14ac:dyDescent="0.25">
      <c r="A22" s="2"/>
      <c r="B22" s="27" t="s">
        <v>230</v>
      </c>
      <c r="C22" s="33">
        <f>+SUM(C19:C21)</f>
        <v>3.3925831160000026</v>
      </c>
      <c r="D22" s="33">
        <f>+SUM(D19:D21)</f>
        <v>-5.0896161949999987</v>
      </c>
      <c r="E22" s="33">
        <f>+SUM(E19:E21)</f>
        <v>1.1442555019999991</v>
      </c>
      <c r="G22" s="42" t="str">
        <f t="shared" si="0"/>
        <v>&lt;-100.0%</v>
      </c>
      <c r="H22" s="42" t="str">
        <f t="shared" si="1"/>
        <v>&lt;-100.0%</v>
      </c>
    </row>
    <row r="23" spans="1:8" s="16" customFormat="1" ht="12" customHeight="1" x14ac:dyDescent="0.25">
      <c r="A23" s="2"/>
      <c r="B23" s="16" t="s">
        <v>221</v>
      </c>
      <c r="C23" s="32">
        <f>+SUMIF('2.1 Database'!$J:$J,'2.2 P&amp;L statement'!$B23,'2.1 Database'!F:F)/1000000</f>
        <v>-0.48846512199999997</v>
      </c>
      <c r="D23" s="32">
        <f>+SUMIF('2.1 Database'!$J:$J,'2.2 P&amp;L statement'!$B23,'2.1 Database'!G:G)/1000000</f>
        <v>-0.98419196500000017</v>
      </c>
      <c r="E23" s="32">
        <f>+SUMIF('2.1 Database'!$J:$J,'2.2 P&amp;L statement'!$B23,'2.1 Database'!H:H)/1000000</f>
        <v>-0.36496502599999997</v>
      </c>
      <c r="G23" s="41" t="str">
        <f t="shared" si="0"/>
        <v>&gt;100.0%</v>
      </c>
      <c r="H23" s="41">
        <f t="shared" si="1"/>
        <v>-0.62917292664546398</v>
      </c>
    </row>
    <row r="24" spans="1:8" s="16" customFormat="1" ht="12" customHeight="1" thickBot="1" x14ac:dyDescent="0.3">
      <c r="A24" s="2"/>
      <c r="B24" s="29" t="s">
        <v>231</v>
      </c>
      <c r="C24" s="35">
        <f>+SUM(C22:C23)</f>
        <v>2.9041179940000026</v>
      </c>
      <c r="D24" s="35">
        <f>+SUM(D22:D23)</f>
        <v>-6.0738081599999987</v>
      </c>
      <c r="E24" s="35">
        <f>+SUM(E22:E23)</f>
        <v>0.77929047599999923</v>
      </c>
      <c r="G24" s="44" t="str">
        <f t="shared" si="0"/>
        <v>&lt;-100.0%</v>
      </c>
      <c r="H24" s="44" t="str">
        <f t="shared" si="1"/>
        <v>&lt;-100.0%</v>
      </c>
    </row>
    <row r="26" spans="1:8" ht="12" customHeight="1" x14ac:dyDescent="0.25">
      <c r="B26" s="45" t="s">
        <v>236</v>
      </c>
      <c r="C26" s="46">
        <f>C9/C7</f>
        <v>0.80329281353949789</v>
      </c>
      <c r="D26" s="46">
        <f>D9/D7</f>
        <v>0.79014052477841912</v>
      </c>
      <c r="E26" s="46">
        <f>E9/E7</f>
        <v>0.78437246085651935</v>
      </c>
    </row>
    <row r="27" spans="1:8" ht="12" customHeight="1" x14ac:dyDescent="0.25">
      <c r="B27" s="45" t="s">
        <v>237</v>
      </c>
      <c r="C27" s="46">
        <f>C17/C7</f>
        <v>0.36878477758296191</v>
      </c>
      <c r="D27" s="46">
        <f>D17/D7</f>
        <v>0.16301696811306118</v>
      </c>
      <c r="E27" s="46">
        <f>E17/E7</f>
        <v>0.20104802619916018</v>
      </c>
    </row>
    <row r="28" spans="1:8" ht="12" customHeight="1" x14ac:dyDescent="0.25">
      <c r="B28" s="45" t="s">
        <v>238</v>
      </c>
      <c r="C28" s="46">
        <f>C19/C7</f>
        <v>0.2779466397506159</v>
      </c>
      <c r="D28" s="46">
        <f>D19/D7</f>
        <v>8.4499823378317393E-2</v>
      </c>
      <c r="E28" s="46">
        <f>E19/E7</f>
        <v>0.12928704033394345</v>
      </c>
    </row>
    <row r="32" spans="1:8" ht="12" customHeight="1" outlineLevel="1" x14ac:dyDescent="0.25">
      <c r="B32" s="18" t="s">
        <v>233</v>
      </c>
      <c r="C32" s="36">
        <f>+SUMIF('2.1 Database'!$J:$J,'2.2 P&amp;L statement'!$B32,'2.1 Database'!F:F)/1000000</f>
        <v>-2.9041179939999986</v>
      </c>
      <c r="D32" s="36">
        <f>+SUMIF('2.1 Database'!$J:$J,'2.2 P&amp;L statement'!$B32,'2.1 Database'!G:G)/1000000</f>
        <v>6.0738081600000005</v>
      </c>
      <c r="E32" s="36">
        <f>+SUMIF('2.1 Database'!$J:$J,'2.2 P&amp;L statement'!$B32,'2.1 Database'!H:H)/1000000</f>
        <v>-0.77929047600000001</v>
      </c>
    </row>
    <row r="33" spans="2:5" ht="12" customHeight="1" outlineLevel="1" x14ac:dyDescent="0.25">
      <c r="B33" s="18"/>
      <c r="C33" s="37">
        <f>+ROUND(C24+C32,9)</f>
        <v>0</v>
      </c>
      <c r="D33" s="37">
        <f>+D24+D32</f>
        <v>0</v>
      </c>
      <c r="E33" s="37">
        <f>+E24+E32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40" x14ac:dyDescent="0.8">
      <c r="B12" s="12" t="s">
        <v>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2"/>
  <sheetViews>
    <sheetView topLeftCell="B1" zoomScale="130" zoomScaleNormal="130" workbookViewId="0">
      <selection activeCell="L7" sqref="L7"/>
    </sheetView>
  </sheetViews>
  <sheetFormatPr defaultColWidth="9.08984375" defaultRowHeight="11.5" x14ac:dyDescent="0.25"/>
  <cols>
    <col min="1" max="1" width="2" style="2" customWidth="1"/>
    <col min="2" max="2" width="15.90625" style="2" customWidth="1"/>
    <col min="3" max="16384" width="9.08984375" style="2"/>
  </cols>
  <sheetData>
    <row r="1" spans="2:10" ht="15.5" x14ac:dyDescent="0.35">
      <c r="B1" s="3" t="s">
        <v>239</v>
      </c>
    </row>
    <row r="3" spans="2:10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10" x14ac:dyDescent="0.25">
      <c r="B4" s="47" t="s">
        <v>213</v>
      </c>
      <c r="C4" s="48">
        <f>'2.2 P&amp;L statement'!C4</f>
        <v>14.500341000000001</v>
      </c>
      <c r="D4" s="48">
        <f>'2.2 P&amp;L statement'!D4</f>
        <v>16.148295364999999</v>
      </c>
      <c r="E4" s="48">
        <f>'2.2 P&amp;L statement'!E4</f>
        <v>15.047803019</v>
      </c>
    </row>
    <row r="5" spans="2:10" x14ac:dyDescent="0.25">
      <c r="B5" s="47" t="s">
        <v>63</v>
      </c>
      <c r="C5" s="48">
        <f>'2.2 P&amp;L statement'!C5</f>
        <v>4.7948561920000001</v>
      </c>
      <c r="D5" s="48">
        <f>'2.2 P&amp;L statement'!D5</f>
        <v>6.9602176449999993</v>
      </c>
      <c r="E5" s="48">
        <f>'2.2 P&amp;L statement'!E5</f>
        <v>6.3736175140000002</v>
      </c>
    </row>
    <row r="6" spans="2:10" x14ac:dyDescent="0.25">
      <c r="B6" s="47" t="s">
        <v>215</v>
      </c>
      <c r="C6" s="48">
        <f>'2.2 P&amp;L statement'!C6</f>
        <v>3.2200542519999997</v>
      </c>
      <c r="D6" s="48">
        <f>'2.2 P&amp;L statement'!D6</f>
        <v>2.9240919949999999</v>
      </c>
      <c r="E6" s="48">
        <f>'2.2 P&amp;L statement'!E6</f>
        <v>4.8931777299999997</v>
      </c>
    </row>
    <row r="7" spans="2:10" x14ac:dyDescent="0.25">
      <c r="B7" s="47" t="s">
        <v>236</v>
      </c>
      <c r="C7" s="49">
        <f>'2.2 P&amp;L statement'!C26</f>
        <v>0.80329281353949789</v>
      </c>
      <c r="D7" s="49">
        <f>'2.2 P&amp;L statement'!D26</f>
        <v>0.79014052477841912</v>
      </c>
      <c r="E7" s="49">
        <f>'2.2 P&amp;L statement'!E26</f>
        <v>0.78437246085651935</v>
      </c>
    </row>
    <row r="12" spans="2:10" x14ac:dyDescent="0.25">
      <c r="J12" s="2" t="s">
        <v>240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zoomScale="130" zoomScaleNormal="130" workbookViewId="0"/>
  </sheetViews>
  <sheetFormatPr defaultColWidth="9.08984375" defaultRowHeight="11.5" x14ac:dyDescent="0.25"/>
  <cols>
    <col min="1" max="1" width="2" style="2" customWidth="1"/>
    <col min="2" max="2" width="18.6328125" style="2" bestFit="1" customWidth="1"/>
    <col min="3" max="16384" width="9.08984375" style="2"/>
  </cols>
  <sheetData>
    <row r="1" spans="2:5" ht="15.5" x14ac:dyDescent="0.35">
      <c r="B1" s="3" t="s">
        <v>93</v>
      </c>
    </row>
    <row r="3" spans="2:5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5" x14ac:dyDescent="0.25">
      <c r="B4" s="48" t="str">
        <f>'2.2 P&amp;L statement'!B4</f>
        <v>Net Sales</v>
      </c>
      <c r="C4" s="48">
        <f>'2.2 P&amp;L statement'!C4</f>
        <v>14.500341000000001</v>
      </c>
      <c r="D4" s="48">
        <f>'2.2 P&amp;L statement'!D4</f>
        <v>16.148295364999999</v>
      </c>
      <c r="E4" s="48">
        <f>'2.2 P&amp;L statement'!E4</f>
        <v>15.047803019</v>
      </c>
    </row>
    <row r="5" spans="2:5" x14ac:dyDescent="0.25">
      <c r="B5" s="48" t="str">
        <f>'2.2 P&amp;L statement'!B5</f>
        <v>Other revenues</v>
      </c>
      <c r="C5" s="48">
        <f>'2.2 P&amp;L statement'!C5</f>
        <v>4.7948561920000001</v>
      </c>
      <c r="D5" s="48">
        <f>'2.2 P&amp;L statement'!D5</f>
        <v>6.9602176449999993</v>
      </c>
      <c r="E5" s="48">
        <f>'2.2 P&amp;L statement'!E5</f>
        <v>6.3736175140000002</v>
      </c>
    </row>
    <row r="6" spans="2:5" x14ac:dyDescent="0.25">
      <c r="B6" s="48" t="str">
        <f>'2.2 P&amp;L statement'!B6</f>
        <v>Recharges</v>
      </c>
      <c r="C6" s="48">
        <f>'2.2 P&amp;L statement'!C6</f>
        <v>3.2200542519999997</v>
      </c>
      <c r="D6" s="48">
        <f>'2.2 P&amp;L statement'!D6</f>
        <v>2.9240919949999999</v>
      </c>
      <c r="E6" s="48">
        <f>'2.2 P&amp;L statement'!E6</f>
        <v>4.8931777299999997</v>
      </c>
    </row>
    <row r="7" spans="2:5" x14ac:dyDescent="0.25">
      <c r="B7" s="47"/>
      <c r="C7" s="49"/>
      <c r="D7" s="49"/>
      <c r="E7" s="49"/>
    </row>
    <row r="8" spans="2:5" x14ac:dyDescent="0.25">
      <c r="B8" s="47"/>
      <c r="C8" s="47"/>
      <c r="D8" s="47"/>
      <c r="E8" s="47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zoomScale="120" zoomScaleNormal="120" workbookViewId="0">
      <selection activeCell="J17" sqref="J17"/>
    </sheetView>
  </sheetViews>
  <sheetFormatPr defaultColWidth="9.08984375" defaultRowHeight="11.5" x14ac:dyDescent="0.25"/>
  <cols>
    <col min="1" max="1" width="2" style="2" customWidth="1"/>
    <col min="2" max="2" width="20.36328125" style="2" bestFit="1" customWidth="1"/>
    <col min="3" max="16384" width="9.08984375" style="2"/>
  </cols>
  <sheetData>
    <row r="1" spans="2:5" ht="15.5" x14ac:dyDescent="0.35">
      <c r="B1" s="3" t="s">
        <v>241</v>
      </c>
    </row>
    <row r="3" spans="2:5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5" x14ac:dyDescent="0.25">
      <c r="B4" s="47" t="s">
        <v>242</v>
      </c>
      <c r="C4" s="48">
        <v>22.515251444</v>
      </c>
      <c r="D4" s="48">
        <v>26.032605005000001</v>
      </c>
      <c r="E4" s="48">
        <v>26.314598263000001</v>
      </c>
    </row>
    <row r="5" spans="2:5" x14ac:dyDescent="0.25">
      <c r="B5" s="2" t="s">
        <v>236</v>
      </c>
      <c r="C5" s="50">
        <v>0.80329281353949789</v>
      </c>
      <c r="D5" s="50">
        <v>0.79014052477841912</v>
      </c>
      <c r="E5" s="50">
        <v>0.78437246085651935</v>
      </c>
    </row>
    <row r="6" spans="2:5" x14ac:dyDescent="0.25">
      <c r="C6" s="22"/>
      <c r="D6" s="22"/>
      <c r="E6" s="22"/>
    </row>
    <row r="7" spans="2:5" x14ac:dyDescent="0.25">
      <c r="C7" s="22"/>
      <c r="D7" s="22"/>
      <c r="E7" s="2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J1048575"/>
  <sheetViews>
    <sheetView tabSelected="1" workbookViewId="0">
      <selection activeCell="E21" sqref="E21"/>
    </sheetView>
  </sheetViews>
  <sheetFormatPr defaultColWidth="9.08984375" defaultRowHeight="11.5" x14ac:dyDescent="0.25"/>
  <cols>
    <col min="1" max="1" width="2" style="2" customWidth="1"/>
    <col min="2" max="2" width="21.54296875" style="2" bestFit="1" customWidth="1"/>
    <col min="3" max="3" width="8.26953125" style="48" bestFit="1" customWidth="1"/>
    <col min="4" max="4" width="11.453125" style="2" customWidth="1"/>
    <col min="5" max="5" width="9.36328125" style="2" customWidth="1"/>
    <col min="6" max="11" width="11.453125" style="2" customWidth="1"/>
    <col min="12" max="16384" width="9.08984375" style="2"/>
  </cols>
  <sheetData>
    <row r="1" spans="1:36" ht="15.5" x14ac:dyDescent="0.35">
      <c r="B1" s="3" t="s">
        <v>94</v>
      </c>
    </row>
    <row r="2" spans="1:36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6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6" x14ac:dyDescent="0.25">
      <c r="A4" s="57"/>
      <c r="B4" s="57" t="s">
        <v>255</v>
      </c>
      <c r="C4" s="57">
        <f>'2.2 P&amp;L statement'!D17</f>
        <v>4.2437563400000018</v>
      </c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</row>
    <row r="5" spans="1:36" x14ac:dyDescent="0.25">
      <c r="A5" s="57"/>
      <c r="B5" s="57" t="s">
        <v>243</v>
      </c>
      <c r="C5" s="57">
        <f>'2.2 P&amp;L statement'!E7-'2.2 P&amp;L statement'!D7</f>
        <v>0.28199325799999997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</row>
    <row r="6" spans="1:36" x14ac:dyDescent="0.25">
      <c r="A6" s="57"/>
      <c r="B6" s="58" t="s">
        <v>256</v>
      </c>
      <c r="C6" s="57">
        <f>'2.2 P&amp;L statement'!E8-'2.2 P&amp;L statement'!D8</f>
        <v>-0.21096324199999916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</row>
    <row r="7" spans="1:36" x14ac:dyDescent="0.25">
      <c r="A7" s="57"/>
      <c r="B7" s="57" t="s">
        <v>257</v>
      </c>
      <c r="C7" s="57" cm="1">
        <f t="array" ref="C7">SUM('2.2 P&amp;L statement'!E10:E16-'2.2 P&amp;L statement'!D10:D16)</f>
        <v>0.97571168499999961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</row>
    <row r="8" spans="1:36" x14ac:dyDescent="0.25">
      <c r="A8" s="57"/>
      <c r="B8" s="57" t="s">
        <v>258</v>
      </c>
      <c r="C8" s="57">
        <f>'2.2 P&amp;L statement'!E17</f>
        <v>5.2904980409999993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</row>
    <row r="9" spans="1:36" x14ac:dyDescent="0.2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</row>
    <row r="10" spans="1:36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</row>
    <row r="11" spans="1:36" x14ac:dyDescent="0.25">
      <c r="A11" s="57"/>
      <c r="B11" s="59" t="s">
        <v>259</v>
      </c>
      <c r="C11" s="59">
        <f>SUM(C4:C7)-C8</f>
        <v>0</v>
      </c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36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1:36" x14ac:dyDescent="0.25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1:36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1:36" x14ac:dyDescent="0.25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</row>
    <row r="16" spans="1:36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</row>
    <row r="17" spans="1:36" x14ac:dyDescent="0.25">
      <c r="A17" s="57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</row>
    <row r="18" spans="1:36" x14ac:dyDescent="0.25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</row>
    <row r="19" spans="1:36" x14ac:dyDescent="0.25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</row>
    <row r="20" spans="1:36" x14ac:dyDescent="0.25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</row>
    <row r="21" spans="1:36" x14ac:dyDescent="0.25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</row>
    <row r="22" spans="1:36" x14ac:dyDescent="0.25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1:36" x14ac:dyDescent="0.25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</row>
    <row r="24" spans="1:36" x14ac:dyDescent="0.25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</row>
    <row r="25" spans="1:36" x14ac:dyDescent="0.25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</row>
    <row r="26" spans="1:36" x14ac:dyDescent="0.25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</row>
    <row r="27" spans="1:36" x14ac:dyDescent="0.25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</row>
    <row r="28" spans="1:36" x14ac:dyDescent="0.25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</row>
    <row r="29" spans="1:36" x14ac:dyDescent="0.25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</row>
    <row r="30" spans="1:36" x14ac:dyDescent="0.25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</row>
    <row r="31" spans="1:36" x14ac:dyDescent="0.25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</row>
    <row r="32" spans="1:36" x14ac:dyDescent="0.25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</row>
    <row r="33" spans="1:36" x14ac:dyDescent="0.25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</row>
    <row r="34" spans="1:36" x14ac:dyDescent="0.25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</row>
    <row r="35" spans="1:36" x14ac:dyDescent="0.25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</row>
    <row r="36" spans="1:36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</row>
    <row r="37" spans="1:36" x14ac:dyDescent="0.25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</row>
    <row r="38" spans="1:36" x14ac:dyDescent="0.25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</row>
    <row r="39" spans="1:36" x14ac:dyDescent="0.25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</row>
    <row r="40" spans="1:36" x14ac:dyDescent="0.25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</row>
    <row r="41" spans="1:36" x14ac:dyDescent="0.25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</row>
    <row r="42" spans="1:36" x14ac:dyDescent="0.25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</row>
    <row r="43" spans="1:36" x14ac:dyDescent="0.25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</row>
    <row r="44" spans="1:36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</row>
    <row r="45" spans="1:36" x14ac:dyDescent="0.25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</row>
    <row r="46" spans="1:36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</row>
    <row r="47" spans="1:36" x14ac:dyDescent="0.25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</row>
    <row r="48" spans="1:36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</row>
    <row r="49" spans="1:36" x14ac:dyDescent="0.25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</row>
    <row r="50" spans="1:36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</row>
    <row r="51" spans="1:36" x14ac:dyDescent="0.25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</row>
    <row r="52" spans="1:36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</row>
    <row r="53" spans="1:36" x14ac:dyDescent="0.25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</row>
    <row r="54" spans="1:36" x14ac:dyDescent="0.2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</row>
    <row r="55" spans="1:36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</row>
    <row r="56" spans="1:36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</row>
    <row r="57" spans="1:36" x14ac:dyDescent="0.2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</row>
    <row r="58" spans="1:36" x14ac:dyDescent="0.2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</row>
    <row r="59" spans="1:36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</row>
    <row r="60" spans="1:36" x14ac:dyDescent="0.25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</row>
    <row r="61" spans="1:36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</row>
    <row r="62" spans="1:36" x14ac:dyDescent="0.2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</row>
    <row r="63" spans="1:36" x14ac:dyDescent="0.25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</row>
    <row r="64" spans="1:36" x14ac:dyDescent="0.2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</row>
    <row r="65" spans="1:36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</row>
    <row r="66" spans="1:36" x14ac:dyDescent="0.25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</row>
    <row r="67" spans="1:36" x14ac:dyDescent="0.25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</row>
    <row r="68" spans="1:36" x14ac:dyDescent="0.25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</row>
    <row r="69" spans="1:36" x14ac:dyDescent="0.25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</row>
    <row r="70" spans="1:36" x14ac:dyDescent="0.25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</row>
    <row r="71" spans="1:36" x14ac:dyDescent="0.25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</row>
    <row r="72" spans="1:36" x14ac:dyDescent="0.25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</row>
    <row r="73" spans="1:36" x14ac:dyDescent="0.25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</row>
    <row r="74" spans="1:36" x14ac:dyDescent="0.25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</row>
    <row r="75" spans="1:36" x14ac:dyDescent="0.25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</row>
    <row r="76" spans="1:36" x14ac:dyDescent="0.25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</row>
    <row r="77" spans="1:36" x14ac:dyDescent="0.25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</row>
    <row r="78" spans="1:36" x14ac:dyDescent="0.25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</row>
    <row r="79" spans="1:36" x14ac:dyDescent="0.25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</row>
    <row r="80" spans="1:36" x14ac:dyDescent="0.25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</row>
    <row r="81" spans="1:36" x14ac:dyDescent="0.25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</row>
    <row r="82" spans="1:36" x14ac:dyDescent="0.25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</row>
    <row r="83" spans="1:36" x14ac:dyDescent="0.25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</row>
    <row r="84" spans="1:36" x14ac:dyDescent="0.25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</row>
    <row r="85" spans="1:36" x14ac:dyDescent="0.25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</row>
    <row r="86" spans="1:36" x14ac:dyDescent="0.25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</row>
    <row r="87" spans="1:36" x14ac:dyDescent="0.25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</row>
    <row r="88" spans="1:36" x14ac:dyDescent="0.25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</row>
    <row r="89" spans="1:36" x14ac:dyDescent="0.25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</row>
    <row r="90" spans="1:36" x14ac:dyDescent="0.25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</row>
    <row r="91" spans="1:36" x14ac:dyDescent="0.25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</row>
    <row r="92" spans="1:36" x14ac:dyDescent="0.25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</row>
    <row r="93" spans="1:36" x14ac:dyDescent="0.25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</row>
    <row r="94" spans="1:36" x14ac:dyDescent="0.25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</row>
    <row r="95" spans="1:36" x14ac:dyDescent="0.25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</row>
    <row r="96" spans="1:36" x14ac:dyDescent="0.25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</row>
    <row r="97" spans="1:36" x14ac:dyDescent="0.25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</row>
    <row r="98" spans="1:36" x14ac:dyDescent="0.25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</row>
    <row r="99" spans="1:36" x14ac:dyDescent="0.25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</row>
    <row r="100" spans="1:36" x14ac:dyDescent="0.25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</row>
    <row r="101" spans="1:36" x14ac:dyDescent="0.25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</row>
    <row r="102" spans="1:36" x14ac:dyDescent="0.25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</row>
    <row r="103" spans="1:36" x14ac:dyDescent="0.25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</row>
    <row r="104" spans="1:36" x14ac:dyDescent="0.25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</row>
    <row r="105" spans="1:36" x14ac:dyDescent="0.25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</row>
    <row r="106" spans="1:36" x14ac:dyDescent="0.25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</row>
    <row r="107" spans="1:36" x14ac:dyDescent="0.25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</row>
    <row r="108" spans="1:36" x14ac:dyDescent="0.25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</row>
    <row r="109" spans="1:36" x14ac:dyDescent="0.25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</row>
    <row r="110" spans="1:36" x14ac:dyDescent="0.25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</row>
    <row r="111" spans="1:36" x14ac:dyDescent="0.25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</row>
    <row r="112" spans="1:36" x14ac:dyDescent="0.25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</row>
    <row r="113" spans="1:36" x14ac:dyDescent="0.25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</row>
    <row r="114" spans="1:36" x14ac:dyDescent="0.25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</row>
    <row r="115" spans="1:36" x14ac:dyDescent="0.25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</row>
    <row r="116" spans="1:36" x14ac:dyDescent="0.25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</row>
    <row r="117" spans="1:36" x14ac:dyDescent="0.25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</row>
    <row r="118" spans="1:36" x14ac:dyDescent="0.25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</row>
    <row r="119" spans="1:36" x14ac:dyDescent="0.25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</row>
    <row r="120" spans="1:36" x14ac:dyDescent="0.25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</row>
    <row r="121" spans="1:36" x14ac:dyDescent="0.25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</row>
    <row r="122" spans="1:36" x14ac:dyDescent="0.25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</row>
    <row r="123" spans="1:36" x14ac:dyDescent="0.25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</row>
    <row r="124" spans="1:36" x14ac:dyDescent="0.25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</row>
    <row r="125" spans="1:36" x14ac:dyDescent="0.25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</row>
    <row r="126" spans="1:36" x14ac:dyDescent="0.25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</row>
    <row r="127" spans="1:36" x14ac:dyDescent="0.2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</row>
    <row r="128" spans="1:36" x14ac:dyDescent="0.25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</row>
    <row r="129" spans="1:36" x14ac:dyDescent="0.25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</row>
    <row r="130" spans="1:36" x14ac:dyDescent="0.25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</row>
    <row r="131" spans="1:36" x14ac:dyDescent="0.25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</row>
    <row r="132" spans="1:36" x14ac:dyDescent="0.25">
      <c r="A132" s="57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</row>
    <row r="133" spans="1:36" x14ac:dyDescent="0.25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</row>
    <row r="134" spans="1:36" x14ac:dyDescent="0.25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</row>
    <row r="135" spans="1:36" x14ac:dyDescent="0.25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</row>
    <row r="136" spans="1:36" x14ac:dyDescent="0.25">
      <c r="A136" s="57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</row>
    <row r="137" spans="1:36" x14ac:dyDescent="0.2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</row>
    <row r="138" spans="1:36" x14ac:dyDescent="0.25">
      <c r="A138" s="57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</row>
    <row r="139" spans="1:36" x14ac:dyDescent="0.25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</row>
    <row r="140" spans="1:36" x14ac:dyDescent="0.25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</row>
    <row r="141" spans="1:36" x14ac:dyDescent="0.25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</row>
    <row r="142" spans="1:36" x14ac:dyDescent="0.25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</row>
    <row r="143" spans="1:36" x14ac:dyDescent="0.25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</row>
    <row r="144" spans="1:36" x14ac:dyDescent="0.25">
      <c r="A144" s="57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</row>
    <row r="145" spans="1:36" x14ac:dyDescent="0.25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</row>
    <row r="146" spans="1:36" x14ac:dyDescent="0.25">
      <c r="A146" s="57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</row>
    <row r="147" spans="1:36" x14ac:dyDescent="0.2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</row>
    <row r="148" spans="1:36" x14ac:dyDescent="0.25">
      <c r="A148" s="57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</row>
    <row r="149" spans="1:36" x14ac:dyDescent="0.25">
      <c r="A149" s="57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</row>
    <row r="150" spans="1:36" x14ac:dyDescent="0.25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</row>
    <row r="151" spans="1:36" x14ac:dyDescent="0.2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</row>
    <row r="152" spans="1:36" x14ac:dyDescent="0.25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</row>
    <row r="153" spans="1:36" x14ac:dyDescent="0.25">
      <c r="A153" s="57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</row>
    <row r="154" spans="1:36" x14ac:dyDescent="0.25">
      <c r="A154" s="57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</row>
    <row r="155" spans="1:36" x14ac:dyDescent="0.2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</row>
    <row r="156" spans="1:36" x14ac:dyDescent="0.25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</row>
    <row r="157" spans="1:36" x14ac:dyDescent="0.2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</row>
    <row r="158" spans="1:36" x14ac:dyDescent="0.25">
      <c r="A158" s="57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</row>
    <row r="159" spans="1:36" x14ac:dyDescent="0.25">
      <c r="A159" s="57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</row>
    <row r="160" spans="1:36" x14ac:dyDescent="0.25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</row>
    <row r="161" spans="1:36" x14ac:dyDescent="0.2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</row>
    <row r="162" spans="1:36" x14ac:dyDescent="0.25">
      <c r="A162" s="57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</row>
    <row r="163" spans="1:36" x14ac:dyDescent="0.25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</row>
    <row r="164" spans="1:36" x14ac:dyDescent="0.25">
      <c r="A164" s="57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</row>
    <row r="165" spans="1:36" x14ac:dyDescent="0.25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</row>
    <row r="166" spans="1:36" x14ac:dyDescent="0.25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</row>
    <row r="167" spans="1:36" x14ac:dyDescent="0.25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</row>
    <row r="168" spans="1:36" x14ac:dyDescent="0.25">
      <c r="A168" s="57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</row>
    <row r="169" spans="1:36" x14ac:dyDescent="0.25">
      <c r="A169" s="57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</row>
    <row r="170" spans="1:36" x14ac:dyDescent="0.25">
      <c r="A170" s="57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</row>
    <row r="171" spans="1:36" x14ac:dyDescent="0.25">
      <c r="A171" s="57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</row>
    <row r="172" spans="1:36" x14ac:dyDescent="0.25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</row>
    <row r="173" spans="1:36" x14ac:dyDescent="0.2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</row>
    <row r="174" spans="1:36" x14ac:dyDescent="0.25">
      <c r="A174" s="57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</row>
    <row r="175" spans="1:36" x14ac:dyDescent="0.25">
      <c r="A175" s="57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</row>
    <row r="176" spans="1:36" x14ac:dyDescent="0.25">
      <c r="A176" s="57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</row>
    <row r="177" spans="1:36" x14ac:dyDescent="0.25">
      <c r="A177" s="57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</row>
    <row r="178" spans="1:36" x14ac:dyDescent="0.25">
      <c r="A178" s="57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</row>
    <row r="179" spans="1:36" x14ac:dyDescent="0.25">
      <c r="A179" s="57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</row>
    <row r="180" spans="1:36" x14ac:dyDescent="0.25">
      <c r="A180" s="57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</row>
    <row r="181" spans="1:36" x14ac:dyDescent="0.25">
      <c r="A181" s="57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</row>
    <row r="182" spans="1:36" x14ac:dyDescent="0.25">
      <c r="A182" s="57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</row>
    <row r="183" spans="1:36" x14ac:dyDescent="0.25">
      <c r="A183" s="57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</row>
    <row r="184" spans="1:36" x14ac:dyDescent="0.25">
      <c r="A184" s="57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</row>
    <row r="185" spans="1:36" x14ac:dyDescent="0.2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</row>
    <row r="186" spans="1:36" x14ac:dyDescent="0.25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</row>
    <row r="187" spans="1:36" x14ac:dyDescent="0.2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</row>
    <row r="188" spans="1:36" x14ac:dyDescent="0.25">
      <c r="A188" s="57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</row>
    <row r="189" spans="1:36" x14ac:dyDescent="0.25">
      <c r="A189" s="57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</row>
    <row r="190" spans="1:36" x14ac:dyDescent="0.25">
      <c r="A190" s="57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</row>
    <row r="191" spans="1:36" x14ac:dyDescent="0.25">
      <c r="A191" s="57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</row>
    <row r="192" spans="1:36" x14ac:dyDescent="0.25">
      <c r="A192" s="57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</row>
    <row r="193" spans="1:36" x14ac:dyDescent="0.2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</row>
    <row r="194" spans="1:36" x14ac:dyDescent="0.25">
      <c r="A194" s="57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</row>
    <row r="195" spans="1:36" x14ac:dyDescent="0.25">
      <c r="A195" s="57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</row>
    <row r="196" spans="1:36" x14ac:dyDescent="0.25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</row>
    <row r="197" spans="1:36" x14ac:dyDescent="0.25">
      <c r="A197" s="57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</row>
    <row r="198" spans="1:36" x14ac:dyDescent="0.25">
      <c r="A198" s="57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</row>
    <row r="199" spans="1:36" x14ac:dyDescent="0.2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</row>
    <row r="200" spans="1:36" x14ac:dyDescent="0.25">
      <c r="A200" s="57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</row>
    <row r="201" spans="1:36" x14ac:dyDescent="0.25">
      <c r="A201" s="57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</row>
    <row r="202" spans="1:36" x14ac:dyDescent="0.25">
      <c r="A202" s="57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</row>
    <row r="203" spans="1:36" x14ac:dyDescent="0.25">
      <c r="A203" s="57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</row>
    <row r="204" spans="1:36" x14ac:dyDescent="0.25">
      <c r="A204" s="57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</row>
    <row r="205" spans="1:36" x14ac:dyDescent="0.25">
      <c r="A205" s="57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</row>
    <row r="206" spans="1:36" x14ac:dyDescent="0.25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</row>
    <row r="207" spans="1:36" x14ac:dyDescent="0.25">
      <c r="A207" s="57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</row>
    <row r="208" spans="1:36" x14ac:dyDescent="0.25">
      <c r="A208" s="57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</row>
    <row r="209" spans="1:36" x14ac:dyDescent="0.2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</row>
    <row r="210" spans="1:36" x14ac:dyDescent="0.25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</row>
    <row r="211" spans="1:36" x14ac:dyDescent="0.2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</row>
    <row r="212" spans="1:36" x14ac:dyDescent="0.25">
      <c r="A212" s="57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</row>
    <row r="213" spans="1:36" x14ac:dyDescent="0.25">
      <c r="A213" s="57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</row>
    <row r="214" spans="1:36" x14ac:dyDescent="0.25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</row>
    <row r="215" spans="1:36" x14ac:dyDescent="0.2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</row>
    <row r="216" spans="1:36" x14ac:dyDescent="0.25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</row>
    <row r="217" spans="1:36" x14ac:dyDescent="0.25">
      <c r="A217" s="57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</row>
    <row r="218" spans="1:36" x14ac:dyDescent="0.25">
      <c r="A218" s="57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</row>
    <row r="219" spans="1:36" x14ac:dyDescent="0.2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</row>
    <row r="220" spans="1:36" x14ac:dyDescent="0.25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</row>
    <row r="221" spans="1:36" x14ac:dyDescent="0.25">
      <c r="A221" s="57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</row>
    <row r="222" spans="1:36" x14ac:dyDescent="0.25">
      <c r="A222" s="57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</row>
    <row r="223" spans="1:36" x14ac:dyDescent="0.25">
      <c r="A223" s="57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</row>
    <row r="224" spans="1:36" x14ac:dyDescent="0.25">
      <c r="A224" s="57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</row>
    <row r="225" spans="1:36" x14ac:dyDescent="0.25">
      <c r="A225" s="57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</row>
    <row r="226" spans="1:36" x14ac:dyDescent="0.25">
      <c r="A226" s="57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</row>
    <row r="227" spans="1:36" x14ac:dyDescent="0.25">
      <c r="A227" s="57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</row>
    <row r="228" spans="1:36" x14ac:dyDescent="0.25">
      <c r="A228" s="57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</row>
    <row r="229" spans="1:36" x14ac:dyDescent="0.25">
      <c r="A229" s="57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</row>
    <row r="230" spans="1:36" x14ac:dyDescent="0.25">
      <c r="A230" s="57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</row>
    <row r="231" spans="1:36" x14ac:dyDescent="0.2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</row>
    <row r="232" spans="1:36" x14ac:dyDescent="0.25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</row>
    <row r="233" spans="1:36" x14ac:dyDescent="0.25">
      <c r="A233" s="57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</row>
    <row r="234" spans="1:36" x14ac:dyDescent="0.25">
      <c r="A234" s="57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</row>
    <row r="235" spans="1:36" x14ac:dyDescent="0.25">
      <c r="A235" s="57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</row>
    <row r="236" spans="1:36" x14ac:dyDescent="0.25">
      <c r="A236" s="57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</row>
    <row r="237" spans="1:36" x14ac:dyDescent="0.25">
      <c r="A237" s="57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</row>
    <row r="238" spans="1:36" x14ac:dyDescent="0.25">
      <c r="A238" s="57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</row>
    <row r="239" spans="1:36" x14ac:dyDescent="0.25">
      <c r="A239" s="57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</row>
    <row r="240" spans="1:36" x14ac:dyDescent="0.25">
      <c r="A240" s="57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</row>
    <row r="241" spans="1:36" x14ac:dyDescent="0.25">
      <c r="A241" s="57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</row>
    <row r="242" spans="1:36" x14ac:dyDescent="0.25">
      <c r="A242" s="57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</row>
    <row r="243" spans="1:36" x14ac:dyDescent="0.25">
      <c r="A243" s="57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</row>
    <row r="244" spans="1:36" x14ac:dyDescent="0.25">
      <c r="A244" s="57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</row>
    <row r="245" spans="1:36" x14ac:dyDescent="0.25">
      <c r="A245" s="57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</row>
    <row r="246" spans="1:36" x14ac:dyDescent="0.25">
      <c r="A246" s="57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</row>
    <row r="247" spans="1:36" x14ac:dyDescent="0.25">
      <c r="A247" s="57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</row>
    <row r="248" spans="1:36" x14ac:dyDescent="0.25">
      <c r="A248" s="57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</row>
    <row r="249" spans="1:36" x14ac:dyDescent="0.25">
      <c r="A249" s="57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</row>
    <row r="250" spans="1:36" x14ac:dyDescent="0.25">
      <c r="A250" s="57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</row>
    <row r="251" spans="1:36" x14ac:dyDescent="0.25">
      <c r="A251" s="57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</row>
    <row r="252" spans="1:36" x14ac:dyDescent="0.25">
      <c r="A252" s="57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</row>
    <row r="253" spans="1:36" x14ac:dyDescent="0.25">
      <c r="A253" s="57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</row>
    <row r="254" spans="1:36" x14ac:dyDescent="0.25">
      <c r="A254" s="57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</row>
    <row r="255" spans="1:36" x14ac:dyDescent="0.25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</row>
    <row r="256" spans="1:36" x14ac:dyDescent="0.25">
      <c r="A256" s="57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</row>
    <row r="257" spans="1:36" x14ac:dyDescent="0.25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</row>
    <row r="258" spans="1:36" x14ac:dyDescent="0.25">
      <c r="A258" s="57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</row>
    <row r="259" spans="1:36" x14ac:dyDescent="0.25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</row>
    <row r="260" spans="1:36" x14ac:dyDescent="0.25">
      <c r="A260" s="57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</row>
    <row r="261" spans="1:36" x14ac:dyDescent="0.25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</row>
    <row r="262" spans="1:36" x14ac:dyDescent="0.25">
      <c r="A262" s="57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</row>
    <row r="263" spans="1:36" x14ac:dyDescent="0.25">
      <c r="A263" s="57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</row>
    <row r="264" spans="1:36" x14ac:dyDescent="0.25">
      <c r="A264" s="57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</row>
    <row r="265" spans="1:36" x14ac:dyDescent="0.25">
      <c r="A265" s="57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</row>
    <row r="266" spans="1:36" x14ac:dyDescent="0.25">
      <c r="A266" s="57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</row>
    <row r="267" spans="1:36" x14ac:dyDescent="0.25">
      <c r="A267" s="57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  <c r="AB267" s="57"/>
      <c r="AC267" s="57"/>
      <c r="AD267" s="57"/>
      <c r="AE267" s="57"/>
      <c r="AF267" s="57"/>
      <c r="AG267" s="57"/>
      <c r="AH267" s="57"/>
      <c r="AI267" s="57"/>
      <c r="AJ267" s="57"/>
    </row>
    <row r="268" spans="1:36" x14ac:dyDescent="0.25">
      <c r="A268" s="57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  <c r="AB268" s="57"/>
      <c r="AC268" s="57"/>
      <c r="AD268" s="57"/>
      <c r="AE268" s="57"/>
      <c r="AF268" s="57"/>
      <c r="AG268" s="57"/>
      <c r="AH268" s="57"/>
      <c r="AI268" s="57"/>
      <c r="AJ268" s="57"/>
    </row>
    <row r="269" spans="1:36" x14ac:dyDescent="0.25">
      <c r="A269" s="57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  <c r="AA269" s="57"/>
      <c r="AB269" s="57"/>
      <c r="AC269" s="57"/>
      <c r="AD269" s="57"/>
      <c r="AE269" s="57"/>
      <c r="AF269" s="57"/>
      <c r="AG269" s="57"/>
      <c r="AH269" s="57"/>
      <c r="AI269" s="57"/>
      <c r="AJ269" s="57"/>
    </row>
    <row r="270" spans="1:36" x14ac:dyDescent="0.25">
      <c r="A270" s="57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  <c r="AA270" s="57"/>
      <c r="AB270" s="57"/>
      <c r="AC270" s="57"/>
      <c r="AD270" s="57"/>
      <c r="AE270" s="57"/>
      <c r="AF270" s="57"/>
      <c r="AG270" s="57"/>
      <c r="AH270" s="57"/>
      <c r="AI270" s="57"/>
      <c r="AJ270" s="57"/>
    </row>
    <row r="271" spans="1:36" x14ac:dyDescent="0.25">
      <c r="A271" s="57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  <c r="AB271" s="57"/>
      <c r="AC271" s="57"/>
      <c r="AD271" s="57"/>
      <c r="AE271" s="57"/>
      <c r="AF271" s="57"/>
      <c r="AG271" s="57"/>
      <c r="AH271" s="57"/>
      <c r="AI271" s="57"/>
      <c r="AJ271" s="57"/>
    </row>
    <row r="272" spans="1:36" x14ac:dyDescent="0.25">
      <c r="A272" s="57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  <c r="AA272" s="57"/>
      <c r="AB272" s="57"/>
      <c r="AC272" s="57"/>
      <c r="AD272" s="57"/>
      <c r="AE272" s="57"/>
      <c r="AF272" s="57"/>
      <c r="AG272" s="57"/>
      <c r="AH272" s="57"/>
      <c r="AI272" s="57"/>
      <c r="AJ272" s="57"/>
    </row>
    <row r="273" spans="1:36" x14ac:dyDescent="0.25">
      <c r="A273" s="57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  <c r="AB273" s="57"/>
      <c r="AC273" s="57"/>
      <c r="AD273" s="57"/>
      <c r="AE273" s="57"/>
      <c r="AF273" s="57"/>
      <c r="AG273" s="57"/>
      <c r="AH273" s="57"/>
      <c r="AI273" s="57"/>
      <c r="AJ273" s="57"/>
    </row>
    <row r="274" spans="1:36" x14ac:dyDescent="0.25">
      <c r="A274" s="57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  <c r="AB274" s="57"/>
      <c r="AC274" s="57"/>
      <c r="AD274" s="57"/>
      <c r="AE274" s="57"/>
      <c r="AF274" s="57"/>
      <c r="AG274" s="57"/>
      <c r="AH274" s="57"/>
      <c r="AI274" s="57"/>
      <c r="AJ274" s="57"/>
    </row>
    <row r="275" spans="1:36" x14ac:dyDescent="0.25">
      <c r="A275" s="57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  <c r="AD275" s="57"/>
      <c r="AE275" s="57"/>
      <c r="AF275" s="57"/>
      <c r="AG275" s="57"/>
      <c r="AH275" s="57"/>
      <c r="AI275" s="57"/>
      <c r="AJ275" s="57"/>
    </row>
    <row r="276" spans="1:36" x14ac:dyDescent="0.25">
      <c r="A276" s="57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  <c r="AA276" s="57"/>
      <c r="AB276" s="57"/>
      <c r="AC276" s="57"/>
      <c r="AD276" s="57"/>
      <c r="AE276" s="57"/>
      <c r="AF276" s="57"/>
      <c r="AG276" s="57"/>
      <c r="AH276" s="57"/>
      <c r="AI276" s="57"/>
      <c r="AJ276" s="57"/>
    </row>
    <row r="277" spans="1:36" x14ac:dyDescent="0.25">
      <c r="A277" s="57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  <c r="AA277" s="57"/>
      <c r="AB277" s="57"/>
      <c r="AC277" s="57"/>
      <c r="AD277" s="57"/>
      <c r="AE277" s="57"/>
      <c r="AF277" s="57"/>
      <c r="AG277" s="57"/>
      <c r="AH277" s="57"/>
      <c r="AI277" s="57"/>
      <c r="AJ277" s="57"/>
    </row>
    <row r="278" spans="1:36" x14ac:dyDescent="0.25">
      <c r="A278" s="57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  <c r="AB278" s="57"/>
      <c r="AC278" s="57"/>
      <c r="AD278" s="57"/>
      <c r="AE278" s="57"/>
      <c r="AF278" s="57"/>
      <c r="AG278" s="57"/>
      <c r="AH278" s="57"/>
      <c r="AI278" s="57"/>
      <c r="AJ278" s="57"/>
    </row>
    <row r="279" spans="1:36" x14ac:dyDescent="0.25">
      <c r="A279" s="57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7"/>
      <c r="AB279" s="57"/>
      <c r="AC279" s="57"/>
      <c r="AD279" s="57"/>
      <c r="AE279" s="57"/>
      <c r="AF279" s="57"/>
      <c r="AG279" s="57"/>
      <c r="AH279" s="57"/>
      <c r="AI279" s="57"/>
      <c r="AJ279" s="57"/>
    </row>
    <row r="280" spans="1:36" x14ac:dyDescent="0.25">
      <c r="A280" s="57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  <c r="AB280" s="57"/>
      <c r="AC280" s="57"/>
      <c r="AD280" s="57"/>
      <c r="AE280" s="57"/>
      <c r="AF280" s="57"/>
      <c r="AG280" s="57"/>
      <c r="AH280" s="57"/>
      <c r="AI280" s="57"/>
      <c r="AJ280" s="57"/>
    </row>
    <row r="281" spans="1:36" x14ac:dyDescent="0.25">
      <c r="A281" s="57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  <c r="AB281" s="57"/>
      <c r="AC281" s="57"/>
      <c r="AD281" s="57"/>
      <c r="AE281" s="57"/>
      <c r="AF281" s="57"/>
      <c r="AG281" s="57"/>
      <c r="AH281" s="57"/>
      <c r="AI281" s="57"/>
      <c r="AJ281" s="57"/>
    </row>
    <row r="282" spans="1:36" x14ac:dyDescent="0.25">
      <c r="A282" s="57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  <c r="AD282" s="57"/>
      <c r="AE282" s="57"/>
      <c r="AF282" s="57"/>
      <c r="AG282" s="57"/>
      <c r="AH282" s="57"/>
      <c r="AI282" s="57"/>
      <c r="AJ282" s="57"/>
    </row>
    <row r="283" spans="1:36" x14ac:dyDescent="0.25">
      <c r="A283" s="57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7"/>
      <c r="AB283" s="57"/>
      <c r="AC283" s="57"/>
      <c r="AD283" s="57"/>
      <c r="AE283" s="57"/>
      <c r="AF283" s="57"/>
      <c r="AG283" s="57"/>
      <c r="AH283" s="57"/>
      <c r="AI283" s="57"/>
      <c r="AJ283" s="57"/>
    </row>
    <row r="284" spans="1:36" x14ac:dyDescent="0.25">
      <c r="A284" s="57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  <c r="AB284" s="57"/>
      <c r="AC284" s="57"/>
      <c r="AD284" s="57"/>
      <c r="AE284" s="57"/>
      <c r="AF284" s="57"/>
      <c r="AG284" s="57"/>
      <c r="AH284" s="57"/>
      <c r="AI284" s="57"/>
      <c r="AJ284" s="57"/>
    </row>
    <row r="285" spans="1:36" x14ac:dyDescent="0.25">
      <c r="A285" s="57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  <c r="AA285" s="57"/>
      <c r="AB285" s="57"/>
      <c r="AC285" s="57"/>
      <c r="AD285" s="57"/>
      <c r="AE285" s="57"/>
      <c r="AF285" s="57"/>
      <c r="AG285" s="57"/>
      <c r="AH285" s="57"/>
      <c r="AI285" s="57"/>
      <c r="AJ285" s="57"/>
    </row>
    <row r="286" spans="1:36" x14ac:dyDescent="0.25">
      <c r="A286" s="57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  <c r="AB286" s="57"/>
      <c r="AC286" s="57"/>
      <c r="AD286" s="57"/>
      <c r="AE286" s="57"/>
      <c r="AF286" s="57"/>
      <c r="AG286" s="57"/>
      <c r="AH286" s="57"/>
      <c r="AI286" s="57"/>
      <c r="AJ286" s="57"/>
    </row>
    <row r="287" spans="1:36" x14ac:dyDescent="0.25">
      <c r="A287" s="57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  <c r="AB287" s="57"/>
      <c r="AC287" s="57"/>
      <c r="AD287" s="57"/>
      <c r="AE287" s="57"/>
      <c r="AF287" s="57"/>
      <c r="AG287" s="57"/>
      <c r="AH287" s="57"/>
      <c r="AI287" s="57"/>
      <c r="AJ287" s="57"/>
    </row>
    <row r="288" spans="1:36" x14ac:dyDescent="0.25">
      <c r="A288" s="57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  <c r="AD288" s="57"/>
      <c r="AE288" s="57"/>
      <c r="AF288" s="57"/>
      <c r="AG288" s="57"/>
      <c r="AH288" s="57"/>
      <c r="AI288" s="57"/>
      <c r="AJ288" s="57"/>
    </row>
    <row r="289" spans="1:36" x14ac:dyDescent="0.2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</row>
    <row r="290" spans="1:36" x14ac:dyDescent="0.25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  <c r="AB290" s="57"/>
      <c r="AC290" s="57"/>
      <c r="AD290" s="57"/>
      <c r="AE290" s="57"/>
      <c r="AF290" s="57"/>
      <c r="AG290" s="57"/>
      <c r="AH290" s="57"/>
      <c r="AI290" s="57"/>
      <c r="AJ290" s="57"/>
    </row>
    <row r="291" spans="1:36" x14ac:dyDescent="0.2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  <c r="AB291" s="57"/>
      <c r="AC291" s="57"/>
      <c r="AD291" s="57"/>
      <c r="AE291" s="57"/>
      <c r="AF291" s="57"/>
      <c r="AG291" s="57"/>
      <c r="AH291" s="57"/>
      <c r="AI291" s="57"/>
      <c r="AJ291" s="57"/>
    </row>
    <row r="292" spans="1:36" x14ac:dyDescent="0.25">
      <c r="A292" s="57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  <c r="AA292" s="57"/>
      <c r="AB292" s="57"/>
      <c r="AC292" s="57"/>
      <c r="AD292" s="57"/>
      <c r="AE292" s="57"/>
      <c r="AF292" s="57"/>
      <c r="AG292" s="57"/>
      <c r="AH292" s="57"/>
      <c r="AI292" s="57"/>
      <c r="AJ292" s="57"/>
    </row>
    <row r="293" spans="1:36" x14ac:dyDescent="0.25">
      <c r="A293" s="57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  <c r="AA293" s="57"/>
      <c r="AB293" s="57"/>
      <c r="AC293" s="57"/>
      <c r="AD293" s="57"/>
      <c r="AE293" s="57"/>
      <c r="AF293" s="57"/>
      <c r="AG293" s="57"/>
      <c r="AH293" s="57"/>
      <c r="AI293" s="57"/>
      <c r="AJ293" s="57"/>
    </row>
    <row r="294" spans="1:36" x14ac:dyDescent="0.25">
      <c r="A294" s="57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  <c r="AB294" s="57"/>
      <c r="AC294" s="57"/>
      <c r="AD294" s="57"/>
      <c r="AE294" s="57"/>
      <c r="AF294" s="57"/>
      <c r="AG294" s="57"/>
      <c r="AH294" s="57"/>
      <c r="AI294" s="57"/>
      <c r="AJ294" s="57"/>
    </row>
    <row r="295" spans="1:36" x14ac:dyDescent="0.25">
      <c r="A295" s="57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  <c r="AB295" s="57"/>
      <c r="AC295" s="57"/>
      <c r="AD295" s="57"/>
      <c r="AE295" s="57"/>
      <c r="AF295" s="57"/>
      <c r="AG295" s="57"/>
      <c r="AH295" s="57"/>
      <c r="AI295" s="57"/>
      <c r="AJ295" s="57"/>
    </row>
    <row r="296" spans="1:36" x14ac:dyDescent="0.25">
      <c r="A296" s="57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  <c r="AB296" s="57"/>
      <c r="AC296" s="57"/>
      <c r="AD296" s="57"/>
      <c r="AE296" s="57"/>
      <c r="AF296" s="57"/>
      <c r="AG296" s="57"/>
      <c r="AH296" s="57"/>
      <c r="AI296" s="57"/>
      <c r="AJ296" s="57"/>
    </row>
    <row r="297" spans="1:36" x14ac:dyDescent="0.2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  <c r="AB297" s="57"/>
      <c r="AC297" s="57"/>
      <c r="AD297" s="57"/>
      <c r="AE297" s="57"/>
      <c r="AF297" s="57"/>
      <c r="AG297" s="57"/>
      <c r="AH297" s="57"/>
      <c r="AI297" s="57"/>
      <c r="AJ297" s="57"/>
    </row>
    <row r="298" spans="1:36" x14ac:dyDescent="0.25">
      <c r="A298" s="57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  <c r="AB298" s="57"/>
      <c r="AC298" s="57"/>
      <c r="AD298" s="57"/>
      <c r="AE298" s="57"/>
      <c r="AF298" s="57"/>
      <c r="AG298" s="57"/>
      <c r="AH298" s="57"/>
      <c r="AI298" s="57"/>
      <c r="AJ298" s="57"/>
    </row>
    <row r="299" spans="1:36" x14ac:dyDescent="0.25">
      <c r="A299" s="57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  <c r="AB299" s="57"/>
      <c r="AC299" s="57"/>
      <c r="AD299" s="57"/>
      <c r="AE299" s="57"/>
      <c r="AF299" s="57"/>
      <c r="AG299" s="57"/>
      <c r="AH299" s="57"/>
      <c r="AI299" s="57"/>
      <c r="AJ299" s="57"/>
    </row>
    <row r="300" spans="1:36" x14ac:dyDescent="0.2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  <c r="AB300" s="57"/>
      <c r="AC300" s="57"/>
      <c r="AD300" s="57"/>
      <c r="AE300" s="57"/>
      <c r="AF300" s="57"/>
      <c r="AG300" s="57"/>
      <c r="AH300" s="57"/>
      <c r="AI300" s="57"/>
      <c r="AJ300" s="57"/>
    </row>
    <row r="301" spans="1:36" x14ac:dyDescent="0.25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</row>
    <row r="302" spans="1:36" x14ac:dyDescent="0.25">
      <c r="A302" s="57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  <c r="AB302" s="57"/>
      <c r="AC302" s="57"/>
      <c r="AD302" s="57"/>
      <c r="AE302" s="57"/>
      <c r="AF302" s="57"/>
      <c r="AG302" s="57"/>
      <c r="AH302" s="57"/>
      <c r="AI302" s="57"/>
      <c r="AJ302" s="57"/>
    </row>
    <row r="303" spans="1:36" x14ac:dyDescent="0.2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</row>
    <row r="304" spans="1:36" x14ac:dyDescent="0.25">
      <c r="A304" s="57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  <c r="AA304" s="57"/>
      <c r="AB304" s="57"/>
      <c r="AC304" s="57"/>
      <c r="AD304" s="57"/>
      <c r="AE304" s="57"/>
      <c r="AF304" s="57"/>
      <c r="AG304" s="57"/>
      <c r="AH304" s="57"/>
      <c r="AI304" s="57"/>
      <c r="AJ304" s="57"/>
    </row>
    <row r="305" spans="1:36" x14ac:dyDescent="0.25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  <c r="AA305" s="57"/>
      <c r="AB305" s="57"/>
      <c r="AC305" s="57"/>
      <c r="AD305" s="57"/>
      <c r="AE305" s="57"/>
      <c r="AF305" s="57"/>
      <c r="AG305" s="57"/>
      <c r="AH305" s="57"/>
      <c r="AI305" s="57"/>
      <c r="AJ305" s="57"/>
    </row>
    <row r="306" spans="1:36" x14ac:dyDescent="0.25">
      <c r="A306" s="57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  <c r="AA306" s="57"/>
      <c r="AB306" s="57"/>
      <c r="AC306" s="57"/>
      <c r="AD306" s="57"/>
      <c r="AE306" s="57"/>
      <c r="AF306" s="57"/>
      <c r="AG306" s="57"/>
      <c r="AH306" s="57"/>
      <c r="AI306" s="57"/>
      <c r="AJ306" s="57"/>
    </row>
    <row r="307" spans="1:36" x14ac:dyDescent="0.25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  <c r="AB307" s="57"/>
      <c r="AC307" s="57"/>
      <c r="AD307" s="57"/>
      <c r="AE307" s="57"/>
      <c r="AF307" s="57"/>
      <c r="AG307" s="57"/>
      <c r="AH307" s="57"/>
      <c r="AI307" s="57"/>
      <c r="AJ307" s="57"/>
    </row>
    <row r="308" spans="1:36" x14ac:dyDescent="0.25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  <c r="AA308" s="57"/>
      <c r="AB308" s="57"/>
      <c r="AC308" s="57"/>
      <c r="AD308" s="57"/>
      <c r="AE308" s="57"/>
      <c r="AF308" s="57"/>
      <c r="AG308" s="57"/>
      <c r="AH308" s="57"/>
      <c r="AI308" s="57"/>
      <c r="AJ308" s="57"/>
    </row>
    <row r="309" spans="1:36" x14ac:dyDescent="0.2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  <c r="AA309" s="57"/>
      <c r="AB309" s="57"/>
      <c r="AC309" s="57"/>
      <c r="AD309" s="57"/>
      <c r="AE309" s="57"/>
      <c r="AF309" s="57"/>
      <c r="AG309" s="57"/>
      <c r="AH309" s="57"/>
      <c r="AI309" s="57"/>
      <c r="AJ309" s="57"/>
    </row>
    <row r="310" spans="1:36" x14ac:dyDescent="0.2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  <c r="AB310" s="57"/>
      <c r="AC310" s="57"/>
      <c r="AD310" s="57"/>
      <c r="AE310" s="57"/>
      <c r="AF310" s="57"/>
      <c r="AG310" s="57"/>
      <c r="AH310" s="57"/>
      <c r="AI310" s="57"/>
      <c r="AJ310" s="57"/>
    </row>
    <row r="311" spans="1:36" x14ac:dyDescent="0.2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  <c r="AA311" s="57"/>
      <c r="AB311" s="57"/>
      <c r="AC311" s="57"/>
      <c r="AD311" s="57"/>
      <c r="AE311" s="57"/>
      <c r="AF311" s="57"/>
      <c r="AG311" s="57"/>
      <c r="AH311" s="57"/>
      <c r="AI311" s="57"/>
      <c r="AJ311" s="57"/>
    </row>
    <row r="312" spans="1:36" x14ac:dyDescent="0.25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  <c r="AA312" s="57"/>
      <c r="AB312" s="57"/>
      <c r="AC312" s="57"/>
      <c r="AD312" s="57"/>
      <c r="AE312" s="57"/>
      <c r="AF312" s="57"/>
      <c r="AG312" s="57"/>
      <c r="AH312" s="57"/>
      <c r="AI312" s="57"/>
      <c r="AJ312" s="57"/>
    </row>
    <row r="313" spans="1:36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  <c r="AB313" s="57"/>
      <c r="AC313" s="57"/>
      <c r="AD313" s="57"/>
      <c r="AE313" s="57"/>
      <c r="AF313" s="57"/>
      <c r="AG313" s="57"/>
      <c r="AH313" s="57"/>
      <c r="AI313" s="57"/>
      <c r="AJ313" s="57"/>
    </row>
    <row r="314" spans="1:36" x14ac:dyDescent="0.2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  <c r="AB314" s="57"/>
      <c r="AC314" s="57"/>
      <c r="AD314" s="57"/>
      <c r="AE314" s="57"/>
      <c r="AF314" s="57"/>
      <c r="AG314" s="57"/>
      <c r="AH314" s="57"/>
      <c r="AI314" s="57"/>
      <c r="AJ314" s="57"/>
    </row>
    <row r="315" spans="1:36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  <c r="AB315" s="57"/>
      <c r="AC315" s="57"/>
      <c r="AD315" s="57"/>
      <c r="AE315" s="57"/>
      <c r="AF315" s="57"/>
      <c r="AG315" s="57"/>
      <c r="AH315" s="57"/>
      <c r="AI315" s="57"/>
      <c r="AJ315" s="57"/>
    </row>
    <row r="316" spans="1:36" x14ac:dyDescent="0.25">
      <c r="A316" s="57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  <c r="AA316" s="57"/>
      <c r="AB316" s="57"/>
      <c r="AC316" s="57"/>
      <c r="AD316" s="57"/>
      <c r="AE316" s="57"/>
      <c r="AF316" s="57"/>
      <c r="AG316" s="57"/>
      <c r="AH316" s="57"/>
      <c r="AI316" s="57"/>
      <c r="AJ316" s="57"/>
    </row>
    <row r="317" spans="1:36" x14ac:dyDescent="0.25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</row>
    <row r="318" spans="1:36" x14ac:dyDescent="0.2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  <c r="AB318" s="57"/>
      <c r="AC318" s="57"/>
      <c r="AD318" s="57"/>
      <c r="AE318" s="57"/>
      <c r="AF318" s="57"/>
      <c r="AG318" s="57"/>
      <c r="AH318" s="57"/>
      <c r="AI318" s="57"/>
      <c r="AJ318" s="57"/>
    </row>
    <row r="319" spans="1:36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  <c r="AB319" s="57"/>
      <c r="AC319" s="57"/>
      <c r="AD319" s="57"/>
      <c r="AE319" s="57"/>
      <c r="AF319" s="57"/>
      <c r="AG319" s="57"/>
      <c r="AH319" s="57"/>
      <c r="AI319" s="57"/>
      <c r="AJ319" s="57"/>
    </row>
    <row r="320" spans="1:36" x14ac:dyDescent="0.2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  <c r="AA320" s="57"/>
      <c r="AB320" s="57"/>
      <c r="AC320" s="57"/>
      <c r="AD320" s="57"/>
      <c r="AE320" s="57"/>
      <c r="AF320" s="57"/>
      <c r="AG320" s="57"/>
      <c r="AH320" s="57"/>
      <c r="AI320" s="57"/>
      <c r="AJ320" s="57"/>
    </row>
    <row r="321" spans="1:36" x14ac:dyDescent="0.25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  <c r="AA321" s="57"/>
      <c r="AB321" s="57"/>
      <c r="AC321" s="57"/>
      <c r="AD321" s="57"/>
      <c r="AE321" s="57"/>
      <c r="AF321" s="57"/>
      <c r="AG321" s="57"/>
      <c r="AH321" s="57"/>
      <c r="AI321" s="57"/>
      <c r="AJ321" s="57"/>
    </row>
    <row r="322" spans="1:36" x14ac:dyDescent="0.25">
      <c r="A322" s="57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A322" s="57"/>
      <c r="AB322" s="57"/>
      <c r="AC322" s="57"/>
      <c r="AD322" s="57"/>
      <c r="AE322" s="57"/>
      <c r="AF322" s="57"/>
      <c r="AG322" s="57"/>
      <c r="AH322" s="57"/>
      <c r="AI322" s="57"/>
      <c r="AJ322" s="57"/>
    </row>
    <row r="323" spans="1:36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  <c r="AB323" s="57"/>
      <c r="AC323" s="57"/>
      <c r="AD323" s="57"/>
      <c r="AE323" s="57"/>
      <c r="AF323" s="57"/>
      <c r="AG323" s="57"/>
      <c r="AH323" s="57"/>
      <c r="AI323" s="57"/>
      <c r="AJ323" s="57"/>
    </row>
    <row r="324" spans="1:36" x14ac:dyDescent="0.2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  <c r="AA324" s="57"/>
      <c r="AB324" s="57"/>
      <c r="AC324" s="57"/>
      <c r="AD324" s="57"/>
      <c r="AE324" s="57"/>
      <c r="AF324" s="57"/>
      <c r="AG324" s="57"/>
      <c r="AH324" s="57"/>
      <c r="AI324" s="57"/>
      <c r="AJ324" s="57"/>
    </row>
    <row r="325" spans="1:36" x14ac:dyDescent="0.25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  <c r="AA325" s="57"/>
      <c r="AB325" s="57"/>
      <c r="AC325" s="57"/>
      <c r="AD325" s="57"/>
      <c r="AE325" s="57"/>
      <c r="AF325" s="57"/>
      <c r="AG325" s="57"/>
      <c r="AH325" s="57"/>
      <c r="AI325" s="57"/>
      <c r="AJ325" s="57"/>
    </row>
    <row r="326" spans="1:36" x14ac:dyDescent="0.25">
      <c r="A326" s="57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  <c r="AA326" s="57"/>
      <c r="AB326" s="57"/>
      <c r="AC326" s="57"/>
      <c r="AD326" s="57"/>
      <c r="AE326" s="57"/>
      <c r="AF326" s="57"/>
      <c r="AG326" s="57"/>
      <c r="AH326" s="57"/>
      <c r="AI326" s="57"/>
      <c r="AJ326" s="57"/>
    </row>
    <row r="327" spans="1:36" x14ac:dyDescent="0.25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  <c r="AA327" s="57"/>
      <c r="AB327" s="57"/>
      <c r="AC327" s="57"/>
      <c r="AD327" s="57"/>
      <c r="AE327" s="57"/>
      <c r="AF327" s="57"/>
      <c r="AG327" s="57"/>
      <c r="AH327" s="57"/>
      <c r="AI327" s="57"/>
      <c r="AJ327" s="57"/>
    </row>
    <row r="328" spans="1:36" x14ac:dyDescent="0.25">
      <c r="A328" s="57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  <c r="AA328" s="57"/>
      <c r="AB328" s="57"/>
      <c r="AC328" s="57"/>
      <c r="AD328" s="57"/>
      <c r="AE328" s="57"/>
      <c r="AF328" s="57"/>
      <c r="AG328" s="57"/>
      <c r="AH328" s="57"/>
      <c r="AI328" s="57"/>
      <c r="AJ328" s="57"/>
    </row>
    <row r="329" spans="1:36" x14ac:dyDescent="0.25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  <c r="AA329" s="57"/>
      <c r="AB329" s="57"/>
      <c r="AC329" s="57"/>
      <c r="AD329" s="57"/>
      <c r="AE329" s="57"/>
      <c r="AF329" s="57"/>
      <c r="AG329" s="57"/>
      <c r="AH329" s="57"/>
      <c r="AI329" s="57"/>
      <c r="AJ329" s="57"/>
    </row>
    <row r="330" spans="1:36" x14ac:dyDescent="0.25">
      <c r="A330" s="57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  <c r="AA330" s="57"/>
      <c r="AB330" s="57"/>
      <c r="AC330" s="57"/>
      <c r="AD330" s="57"/>
      <c r="AE330" s="57"/>
      <c r="AF330" s="57"/>
      <c r="AG330" s="57"/>
      <c r="AH330" s="57"/>
      <c r="AI330" s="57"/>
      <c r="AJ330" s="57"/>
    </row>
    <row r="331" spans="1:36" x14ac:dyDescent="0.25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  <c r="AA331" s="57"/>
      <c r="AB331" s="57"/>
      <c r="AC331" s="57"/>
      <c r="AD331" s="57"/>
      <c r="AE331" s="57"/>
      <c r="AF331" s="57"/>
      <c r="AG331" s="57"/>
      <c r="AH331" s="57"/>
      <c r="AI331" s="57"/>
      <c r="AJ331" s="57"/>
    </row>
    <row r="332" spans="1:36" x14ac:dyDescent="0.25">
      <c r="A332" s="57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  <c r="AA332" s="57"/>
      <c r="AB332" s="57"/>
      <c r="AC332" s="57"/>
      <c r="AD332" s="57"/>
      <c r="AE332" s="57"/>
      <c r="AF332" s="57"/>
      <c r="AG332" s="57"/>
      <c r="AH332" s="57"/>
      <c r="AI332" s="57"/>
      <c r="AJ332" s="57"/>
    </row>
    <row r="333" spans="1:36" x14ac:dyDescent="0.25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  <c r="AA333" s="57"/>
      <c r="AB333" s="57"/>
      <c r="AC333" s="57"/>
      <c r="AD333" s="57"/>
      <c r="AE333" s="57"/>
      <c r="AF333" s="57"/>
      <c r="AG333" s="57"/>
      <c r="AH333" s="57"/>
      <c r="AI333" s="57"/>
      <c r="AJ333" s="57"/>
    </row>
    <row r="334" spans="1:36" x14ac:dyDescent="0.25">
      <c r="A334" s="57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  <c r="AA334" s="57"/>
      <c r="AB334" s="57"/>
      <c r="AC334" s="57"/>
      <c r="AD334" s="57"/>
      <c r="AE334" s="57"/>
      <c r="AF334" s="57"/>
      <c r="AG334" s="57"/>
      <c r="AH334" s="57"/>
      <c r="AI334" s="57"/>
      <c r="AJ334" s="57"/>
    </row>
    <row r="335" spans="1:36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  <c r="AB335" s="57"/>
      <c r="AC335" s="57"/>
      <c r="AD335" s="57"/>
      <c r="AE335" s="57"/>
      <c r="AF335" s="57"/>
      <c r="AG335" s="57"/>
      <c r="AH335" s="57"/>
      <c r="AI335" s="57"/>
      <c r="AJ335" s="57"/>
    </row>
    <row r="336" spans="1:36" x14ac:dyDescent="0.2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  <c r="AB336" s="57"/>
      <c r="AC336" s="57"/>
      <c r="AD336" s="57"/>
      <c r="AE336" s="57"/>
      <c r="AF336" s="57"/>
      <c r="AG336" s="57"/>
      <c r="AH336" s="57"/>
      <c r="AI336" s="57"/>
      <c r="AJ336" s="57"/>
    </row>
    <row r="337" spans="1:36" x14ac:dyDescent="0.25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  <c r="AA337" s="57"/>
      <c r="AB337" s="57"/>
      <c r="AC337" s="57"/>
      <c r="AD337" s="57"/>
      <c r="AE337" s="57"/>
      <c r="AF337" s="57"/>
      <c r="AG337" s="57"/>
      <c r="AH337" s="57"/>
      <c r="AI337" s="57"/>
      <c r="AJ337" s="57"/>
    </row>
    <row r="338" spans="1:36" x14ac:dyDescent="0.25">
      <c r="A338" s="57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  <c r="AA338" s="57"/>
      <c r="AB338" s="57"/>
      <c r="AC338" s="57"/>
      <c r="AD338" s="57"/>
      <c r="AE338" s="57"/>
      <c r="AF338" s="57"/>
      <c r="AG338" s="57"/>
      <c r="AH338" s="57"/>
      <c r="AI338" s="57"/>
      <c r="AJ338" s="57"/>
    </row>
    <row r="339" spans="1:36" x14ac:dyDescent="0.25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  <c r="AA339" s="57"/>
      <c r="AB339" s="57"/>
      <c r="AC339" s="57"/>
      <c r="AD339" s="57"/>
      <c r="AE339" s="57"/>
      <c r="AF339" s="57"/>
      <c r="AG339" s="57"/>
      <c r="AH339" s="57"/>
      <c r="AI339" s="57"/>
      <c r="AJ339" s="57"/>
    </row>
    <row r="340" spans="1:36" x14ac:dyDescent="0.25">
      <c r="A340" s="57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  <c r="AA340" s="57"/>
      <c r="AB340" s="57"/>
      <c r="AC340" s="57"/>
      <c r="AD340" s="57"/>
      <c r="AE340" s="57"/>
      <c r="AF340" s="57"/>
      <c r="AG340" s="57"/>
      <c r="AH340" s="57"/>
      <c r="AI340" s="57"/>
      <c r="AJ340" s="57"/>
    </row>
    <row r="341" spans="1:36" x14ac:dyDescent="0.25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  <c r="AA341" s="57"/>
      <c r="AB341" s="57"/>
      <c r="AC341" s="57"/>
      <c r="AD341" s="57"/>
      <c r="AE341" s="57"/>
      <c r="AF341" s="57"/>
      <c r="AG341" s="57"/>
      <c r="AH341" s="57"/>
      <c r="AI341" s="57"/>
      <c r="AJ341" s="57"/>
    </row>
    <row r="342" spans="1:36" x14ac:dyDescent="0.25">
      <c r="A342" s="57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  <c r="AA342" s="57"/>
      <c r="AB342" s="57"/>
      <c r="AC342" s="57"/>
      <c r="AD342" s="57"/>
      <c r="AE342" s="57"/>
      <c r="AF342" s="57"/>
      <c r="AG342" s="57"/>
      <c r="AH342" s="57"/>
      <c r="AI342" s="57"/>
      <c r="AJ342" s="57"/>
    </row>
    <row r="343" spans="1:36" x14ac:dyDescent="0.25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  <c r="AA343" s="57"/>
      <c r="AB343" s="57"/>
      <c r="AC343" s="57"/>
      <c r="AD343" s="57"/>
      <c r="AE343" s="57"/>
      <c r="AF343" s="57"/>
      <c r="AG343" s="57"/>
      <c r="AH343" s="57"/>
      <c r="AI343" s="57"/>
      <c r="AJ343" s="57"/>
    </row>
    <row r="344" spans="1:36" x14ac:dyDescent="0.25">
      <c r="A344" s="57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  <c r="AA344" s="57"/>
      <c r="AB344" s="57"/>
      <c r="AC344" s="57"/>
      <c r="AD344" s="57"/>
      <c r="AE344" s="57"/>
      <c r="AF344" s="57"/>
      <c r="AG344" s="57"/>
      <c r="AH344" s="57"/>
      <c r="AI344" s="57"/>
      <c r="AJ344" s="57"/>
    </row>
    <row r="345" spans="1:36" x14ac:dyDescent="0.25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  <c r="AA345" s="57"/>
      <c r="AB345" s="57"/>
      <c r="AC345" s="57"/>
      <c r="AD345" s="57"/>
      <c r="AE345" s="57"/>
      <c r="AF345" s="57"/>
      <c r="AG345" s="57"/>
      <c r="AH345" s="57"/>
      <c r="AI345" s="57"/>
      <c r="AJ345" s="57"/>
    </row>
    <row r="346" spans="1:36" x14ac:dyDescent="0.25">
      <c r="A346" s="57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  <c r="AA346" s="57"/>
      <c r="AB346" s="57"/>
      <c r="AC346" s="57"/>
      <c r="AD346" s="57"/>
      <c r="AE346" s="57"/>
      <c r="AF346" s="57"/>
      <c r="AG346" s="57"/>
      <c r="AH346" s="57"/>
      <c r="AI346" s="57"/>
      <c r="AJ346" s="57"/>
    </row>
    <row r="347" spans="1:36" x14ac:dyDescent="0.25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  <c r="AA347" s="57"/>
      <c r="AB347" s="57"/>
      <c r="AC347" s="57"/>
      <c r="AD347" s="57"/>
      <c r="AE347" s="57"/>
      <c r="AF347" s="57"/>
      <c r="AG347" s="57"/>
      <c r="AH347" s="57"/>
      <c r="AI347" s="57"/>
      <c r="AJ347" s="57"/>
    </row>
    <row r="348" spans="1:36" x14ac:dyDescent="0.2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  <c r="AB348" s="57"/>
      <c r="AC348" s="57"/>
      <c r="AD348" s="57"/>
      <c r="AE348" s="57"/>
      <c r="AF348" s="57"/>
      <c r="AG348" s="57"/>
      <c r="AH348" s="57"/>
      <c r="AI348" s="57"/>
      <c r="AJ348" s="57"/>
    </row>
    <row r="349" spans="1:36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  <c r="AB349" s="57"/>
      <c r="AC349" s="57"/>
      <c r="AD349" s="57"/>
      <c r="AE349" s="57"/>
      <c r="AF349" s="57"/>
      <c r="AG349" s="57"/>
      <c r="AH349" s="57"/>
      <c r="AI349" s="57"/>
      <c r="AJ349" s="57"/>
    </row>
    <row r="350" spans="1:36" x14ac:dyDescent="0.2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  <c r="AB350" s="57"/>
      <c r="AC350" s="57"/>
      <c r="AD350" s="57"/>
      <c r="AE350" s="57"/>
      <c r="AF350" s="57"/>
      <c r="AG350" s="57"/>
      <c r="AH350" s="57"/>
      <c r="AI350" s="57"/>
      <c r="AJ350" s="57"/>
    </row>
    <row r="351" spans="1:36" x14ac:dyDescent="0.25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  <c r="AA351" s="57"/>
      <c r="AB351" s="57"/>
      <c r="AC351" s="57"/>
      <c r="AD351" s="57"/>
      <c r="AE351" s="57"/>
      <c r="AF351" s="57"/>
      <c r="AG351" s="57"/>
      <c r="AH351" s="57"/>
      <c r="AI351" s="57"/>
      <c r="AJ351" s="57"/>
    </row>
    <row r="352" spans="1:36" x14ac:dyDescent="0.25">
      <c r="A352" s="57"/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  <c r="AA352" s="57"/>
      <c r="AB352" s="57"/>
      <c r="AC352" s="57"/>
      <c r="AD352" s="57"/>
      <c r="AE352" s="57"/>
      <c r="AF352" s="57"/>
      <c r="AG352" s="57"/>
      <c r="AH352" s="57"/>
      <c r="AI352" s="57"/>
      <c r="AJ352" s="57"/>
    </row>
    <row r="353" spans="1:36" x14ac:dyDescent="0.25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  <c r="AB353" s="57"/>
      <c r="AC353" s="57"/>
      <c r="AD353" s="57"/>
      <c r="AE353" s="57"/>
      <c r="AF353" s="57"/>
      <c r="AG353" s="57"/>
      <c r="AH353" s="57"/>
      <c r="AI353" s="57"/>
      <c r="AJ353" s="57"/>
    </row>
    <row r="354" spans="1:36" x14ac:dyDescent="0.25">
      <c r="A354" s="57"/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  <c r="AA354" s="57"/>
      <c r="AB354" s="57"/>
      <c r="AC354" s="57"/>
      <c r="AD354" s="57"/>
      <c r="AE354" s="57"/>
      <c r="AF354" s="57"/>
      <c r="AG354" s="57"/>
      <c r="AH354" s="57"/>
      <c r="AI354" s="57"/>
      <c r="AJ354" s="57"/>
    </row>
    <row r="355" spans="1:36" x14ac:dyDescent="0.25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  <c r="AA355" s="57"/>
      <c r="AB355" s="57"/>
      <c r="AC355" s="57"/>
      <c r="AD355" s="57"/>
      <c r="AE355" s="57"/>
      <c r="AF355" s="57"/>
      <c r="AG355" s="57"/>
      <c r="AH355" s="57"/>
      <c r="AI355" s="57"/>
      <c r="AJ355" s="57"/>
    </row>
    <row r="356" spans="1:36" x14ac:dyDescent="0.2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  <c r="AB356" s="57"/>
      <c r="AC356" s="57"/>
      <c r="AD356" s="57"/>
      <c r="AE356" s="57"/>
      <c r="AF356" s="57"/>
      <c r="AG356" s="57"/>
      <c r="AH356" s="57"/>
      <c r="AI356" s="57"/>
      <c r="AJ356" s="57"/>
    </row>
    <row r="357" spans="1:36" x14ac:dyDescent="0.25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  <c r="AA357" s="57"/>
      <c r="AB357" s="57"/>
      <c r="AC357" s="57"/>
      <c r="AD357" s="57"/>
      <c r="AE357" s="57"/>
      <c r="AF357" s="57"/>
      <c r="AG357" s="57"/>
      <c r="AH357" s="57"/>
      <c r="AI357" s="57"/>
      <c r="AJ357" s="57"/>
    </row>
    <row r="358" spans="1:36" x14ac:dyDescent="0.25">
      <c r="A358" s="57"/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  <c r="AA358" s="57"/>
      <c r="AB358" s="57"/>
      <c r="AC358" s="57"/>
      <c r="AD358" s="57"/>
      <c r="AE358" s="57"/>
      <c r="AF358" s="57"/>
      <c r="AG358" s="57"/>
      <c r="AH358" s="57"/>
      <c r="AI358" s="57"/>
      <c r="AJ358" s="57"/>
    </row>
    <row r="359" spans="1:36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  <c r="AB359" s="57"/>
      <c r="AC359" s="57"/>
      <c r="AD359" s="57"/>
      <c r="AE359" s="57"/>
      <c r="AF359" s="57"/>
      <c r="AG359" s="57"/>
      <c r="AH359" s="57"/>
      <c r="AI359" s="57"/>
      <c r="AJ359" s="57"/>
    </row>
    <row r="360" spans="1:36" x14ac:dyDescent="0.25">
      <c r="A360" s="57"/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  <c r="AA360" s="57"/>
      <c r="AB360" s="57"/>
      <c r="AC360" s="57"/>
      <c r="AD360" s="57"/>
      <c r="AE360" s="57"/>
      <c r="AF360" s="57"/>
      <c r="AG360" s="57"/>
      <c r="AH360" s="57"/>
      <c r="AI360" s="57"/>
      <c r="AJ360" s="57"/>
    </row>
    <row r="361" spans="1:36" x14ac:dyDescent="0.25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  <c r="AA361" s="57"/>
      <c r="AB361" s="57"/>
      <c r="AC361" s="57"/>
      <c r="AD361" s="57"/>
      <c r="AE361" s="57"/>
      <c r="AF361" s="57"/>
      <c r="AG361" s="57"/>
      <c r="AH361" s="57"/>
      <c r="AI361" s="57"/>
      <c r="AJ361" s="57"/>
    </row>
    <row r="362" spans="1:36" x14ac:dyDescent="0.2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  <c r="AB362" s="57"/>
      <c r="AC362" s="57"/>
      <c r="AD362" s="57"/>
      <c r="AE362" s="57"/>
      <c r="AF362" s="57"/>
      <c r="AG362" s="57"/>
      <c r="AH362" s="57"/>
      <c r="AI362" s="57"/>
      <c r="AJ362" s="57"/>
    </row>
    <row r="363" spans="1:36" x14ac:dyDescent="0.25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  <c r="AA363" s="57"/>
      <c r="AB363" s="57"/>
      <c r="AC363" s="57"/>
      <c r="AD363" s="57"/>
      <c r="AE363" s="57"/>
      <c r="AF363" s="57"/>
      <c r="AG363" s="57"/>
      <c r="AH363" s="57"/>
      <c r="AI363" s="57"/>
      <c r="AJ363" s="57"/>
    </row>
    <row r="364" spans="1:36" x14ac:dyDescent="0.25">
      <c r="A364" s="57"/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  <c r="AA364" s="57"/>
      <c r="AB364" s="57"/>
      <c r="AC364" s="57"/>
      <c r="AD364" s="57"/>
      <c r="AE364" s="57"/>
      <c r="AF364" s="57"/>
      <c r="AG364" s="57"/>
      <c r="AH364" s="57"/>
      <c r="AI364" s="57"/>
      <c r="AJ364" s="57"/>
    </row>
    <row r="365" spans="1:36" x14ac:dyDescent="0.25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  <c r="AA365" s="57"/>
      <c r="AB365" s="57"/>
      <c r="AC365" s="57"/>
      <c r="AD365" s="57"/>
      <c r="AE365" s="57"/>
      <c r="AF365" s="57"/>
      <c r="AG365" s="57"/>
      <c r="AH365" s="57"/>
      <c r="AI365" s="57"/>
      <c r="AJ365" s="57"/>
    </row>
    <row r="366" spans="1:36" x14ac:dyDescent="0.25">
      <c r="A366" s="57"/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  <c r="AB366" s="57"/>
      <c r="AC366" s="57"/>
      <c r="AD366" s="57"/>
      <c r="AE366" s="57"/>
      <c r="AF366" s="57"/>
      <c r="AG366" s="57"/>
      <c r="AH366" s="57"/>
      <c r="AI366" s="57"/>
      <c r="AJ366" s="57"/>
    </row>
    <row r="367" spans="1:36" x14ac:dyDescent="0.25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  <c r="AA367" s="57"/>
      <c r="AB367" s="57"/>
      <c r="AC367" s="57"/>
      <c r="AD367" s="57"/>
      <c r="AE367" s="57"/>
      <c r="AF367" s="57"/>
      <c r="AG367" s="57"/>
      <c r="AH367" s="57"/>
      <c r="AI367" s="57"/>
      <c r="AJ367" s="57"/>
    </row>
    <row r="368" spans="1:36" x14ac:dyDescent="0.25">
      <c r="A368" s="57"/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  <c r="AA368" s="57"/>
      <c r="AB368" s="57"/>
      <c r="AC368" s="57"/>
      <c r="AD368" s="57"/>
      <c r="AE368" s="57"/>
      <c r="AF368" s="57"/>
      <c r="AG368" s="57"/>
      <c r="AH368" s="57"/>
      <c r="AI368" s="57"/>
      <c r="AJ368" s="57"/>
    </row>
    <row r="369" spans="1:36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57"/>
      <c r="AG369" s="57"/>
      <c r="AH369" s="57"/>
      <c r="AI369" s="57"/>
      <c r="AJ369" s="57"/>
    </row>
    <row r="370" spans="1:36" x14ac:dyDescent="0.25">
      <c r="A370" s="57"/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  <c r="AB370" s="57"/>
      <c r="AC370" s="57"/>
      <c r="AD370" s="57"/>
      <c r="AE370" s="57"/>
      <c r="AF370" s="57"/>
      <c r="AG370" s="57"/>
      <c r="AH370" s="57"/>
      <c r="AI370" s="57"/>
      <c r="AJ370" s="57"/>
    </row>
    <row r="371" spans="1:36" x14ac:dyDescent="0.25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  <c r="AA371" s="57"/>
      <c r="AB371" s="57"/>
      <c r="AC371" s="57"/>
      <c r="AD371" s="57"/>
      <c r="AE371" s="57"/>
      <c r="AF371" s="57"/>
      <c r="AG371" s="57"/>
      <c r="AH371" s="57"/>
      <c r="AI371" s="57"/>
      <c r="AJ371" s="57"/>
    </row>
    <row r="372" spans="1:36" x14ac:dyDescent="0.2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  <c r="AA372" s="57"/>
      <c r="AB372" s="57"/>
      <c r="AC372" s="57"/>
      <c r="AD372" s="57"/>
      <c r="AE372" s="57"/>
      <c r="AF372" s="57"/>
      <c r="AG372" s="57"/>
      <c r="AH372" s="57"/>
      <c r="AI372" s="57"/>
      <c r="AJ372" s="57"/>
    </row>
    <row r="373" spans="1:36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  <c r="AI373" s="57"/>
      <c r="AJ373" s="57"/>
    </row>
    <row r="374" spans="1:36" x14ac:dyDescent="0.2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  <c r="AI374" s="57"/>
      <c r="AJ374" s="57"/>
    </row>
    <row r="375" spans="1:36" x14ac:dyDescent="0.25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  <c r="AI375" s="57"/>
      <c r="AJ375" s="57"/>
    </row>
    <row r="376" spans="1:36" x14ac:dyDescent="0.25">
      <c r="A376" s="57"/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  <c r="AI376" s="57"/>
      <c r="AJ376" s="57"/>
    </row>
    <row r="377" spans="1:36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57"/>
      <c r="AC377" s="57"/>
      <c r="AD377" s="57"/>
      <c r="AE377" s="57"/>
      <c r="AF377" s="57"/>
      <c r="AG377" s="57"/>
      <c r="AH377" s="57"/>
      <c r="AI377" s="57"/>
      <c r="AJ377" s="57"/>
    </row>
    <row r="378" spans="1:36" x14ac:dyDescent="0.2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  <c r="AI378" s="57"/>
      <c r="AJ378" s="57"/>
    </row>
    <row r="379" spans="1:36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  <c r="AB379" s="57"/>
      <c r="AC379" s="57"/>
      <c r="AD379" s="57"/>
      <c r="AE379" s="57"/>
      <c r="AF379" s="57"/>
      <c r="AG379" s="57"/>
      <c r="AH379" s="57"/>
      <c r="AI379" s="57"/>
      <c r="AJ379" s="57"/>
    </row>
    <row r="380" spans="1:36" x14ac:dyDescent="0.25">
      <c r="A380" s="57"/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  <c r="AA380" s="57"/>
      <c r="AB380" s="57"/>
      <c r="AC380" s="57"/>
      <c r="AD380" s="57"/>
      <c r="AE380" s="57"/>
      <c r="AF380" s="57"/>
      <c r="AG380" s="57"/>
      <c r="AH380" s="57"/>
      <c r="AI380" s="57"/>
      <c r="AJ380" s="57"/>
    </row>
    <row r="381" spans="1:36" x14ac:dyDescent="0.25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  <c r="AA381" s="57"/>
      <c r="AB381" s="57"/>
      <c r="AC381" s="57"/>
      <c r="AD381" s="57"/>
      <c r="AE381" s="57"/>
      <c r="AF381" s="57"/>
      <c r="AG381" s="57"/>
      <c r="AH381" s="57"/>
      <c r="AI381" s="57"/>
      <c r="AJ381" s="57"/>
    </row>
    <row r="382" spans="1:36" x14ac:dyDescent="0.2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</row>
    <row r="383" spans="1:36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  <c r="AB383" s="57"/>
      <c r="AC383" s="57"/>
      <c r="AD383" s="57"/>
      <c r="AE383" s="57"/>
      <c r="AF383" s="57"/>
      <c r="AG383" s="57"/>
      <c r="AH383" s="57"/>
      <c r="AI383" s="57"/>
      <c r="AJ383" s="57"/>
    </row>
    <row r="384" spans="1:36" x14ac:dyDescent="0.25">
      <c r="A384" s="57"/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  <c r="AA384" s="57"/>
      <c r="AB384" s="57"/>
      <c r="AC384" s="57"/>
      <c r="AD384" s="57"/>
      <c r="AE384" s="57"/>
      <c r="AF384" s="57"/>
      <c r="AG384" s="57"/>
      <c r="AH384" s="57"/>
      <c r="AI384" s="57"/>
      <c r="AJ384" s="57"/>
    </row>
    <row r="385" spans="1:36" x14ac:dyDescent="0.25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  <c r="AA385" s="57"/>
      <c r="AB385" s="57"/>
      <c r="AC385" s="57"/>
      <c r="AD385" s="57"/>
      <c r="AE385" s="57"/>
      <c r="AF385" s="57"/>
      <c r="AG385" s="57"/>
      <c r="AH385" s="57"/>
      <c r="AI385" s="57"/>
      <c r="AJ385" s="57"/>
    </row>
    <row r="386" spans="1:36" x14ac:dyDescent="0.25">
      <c r="A386" s="57"/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  <c r="AA386" s="57"/>
      <c r="AB386" s="57"/>
      <c r="AC386" s="57"/>
      <c r="AD386" s="57"/>
      <c r="AE386" s="57"/>
      <c r="AF386" s="57"/>
      <c r="AG386" s="57"/>
      <c r="AH386" s="57"/>
      <c r="AI386" s="57"/>
      <c r="AJ386" s="57"/>
    </row>
    <row r="387" spans="1:36" x14ac:dyDescent="0.25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  <c r="AA387" s="57"/>
      <c r="AB387" s="57"/>
      <c r="AC387" s="57"/>
      <c r="AD387" s="57"/>
      <c r="AE387" s="57"/>
      <c r="AF387" s="57"/>
      <c r="AG387" s="57"/>
      <c r="AH387" s="57"/>
      <c r="AI387" s="57"/>
      <c r="AJ387" s="57"/>
    </row>
    <row r="388" spans="1:36" x14ac:dyDescent="0.25">
      <c r="A388" s="57"/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  <c r="AA388" s="57"/>
      <c r="AB388" s="57"/>
      <c r="AC388" s="57"/>
      <c r="AD388" s="57"/>
      <c r="AE388" s="57"/>
      <c r="AF388" s="57"/>
      <c r="AG388" s="57"/>
      <c r="AH388" s="57"/>
      <c r="AI388" s="57"/>
      <c r="AJ388" s="57"/>
    </row>
    <row r="389" spans="1:36" x14ac:dyDescent="0.25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  <c r="AA389" s="57"/>
      <c r="AB389" s="57"/>
      <c r="AC389" s="57"/>
      <c r="AD389" s="57"/>
      <c r="AE389" s="57"/>
      <c r="AF389" s="57"/>
      <c r="AG389" s="57"/>
      <c r="AH389" s="57"/>
      <c r="AI389" s="57"/>
      <c r="AJ389" s="57"/>
    </row>
    <row r="390" spans="1:36" x14ac:dyDescent="0.25">
      <c r="A390" s="57"/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  <c r="AA390" s="57"/>
      <c r="AB390" s="57"/>
      <c r="AC390" s="57"/>
      <c r="AD390" s="57"/>
      <c r="AE390" s="57"/>
      <c r="AF390" s="57"/>
      <c r="AG390" s="57"/>
      <c r="AH390" s="57"/>
      <c r="AI390" s="57"/>
      <c r="AJ390" s="57"/>
    </row>
    <row r="391" spans="1:36" x14ac:dyDescent="0.25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  <c r="AA391" s="57"/>
      <c r="AB391" s="57"/>
      <c r="AC391" s="57"/>
      <c r="AD391" s="57"/>
      <c r="AE391" s="57"/>
      <c r="AF391" s="57"/>
      <c r="AG391" s="57"/>
      <c r="AH391" s="57"/>
      <c r="AI391" s="57"/>
      <c r="AJ391" s="57"/>
    </row>
    <row r="392" spans="1:36" x14ac:dyDescent="0.25">
      <c r="A392" s="57"/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  <c r="AA392" s="57"/>
      <c r="AB392" s="57"/>
      <c r="AC392" s="57"/>
      <c r="AD392" s="57"/>
      <c r="AE392" s="57"/>
      <c r="AF392" s="57"/>
      <c r="AG392" s="57"/>
      <c r="AH392" s="57"/>
      <c r="AI392" s="57"/>
      <c r="AJ392" s="57"/>
    </row>
    <row r="393" spans="1:36" x14ac:dyDescent="0.25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  <c r="AA393" s="57"/>
      <c r="AB393" s="57"/>
      <c r="AC393" s="57"/>
      <c r="AD393" s="57"/>
      <c r="AE393" s="57"/>
      <c r="AF393" s="57"/>
      <c r="AG393" s="57"/>
      <c r="AH393" s="57"/>
      <c r="AI393" s="57"/>
      <c r="AJ393" s="57"/>
    </row>
    <row r="394" spans="1:36" x14ac:dyDescent="0.2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  <c r="AB394" s="57"/>
      <c r="AC394" s="57"/>
      <c r="AD394" s="57"/>
      <c r="AE394" s="57"/>
      <c r="AF394" s="57"/>
      <c r="AG394" s="57"/>
      <c r="AH394" s="57"/>
      <c r="AI394" s="57"/>
      <c r="AJ394" s="57"/>
    </row>
    <row r="395" spans="1:36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  <c r="AB395" s="57"/>
      <c r="AC395" s="57"/>
      <c r="AD395" s="57"/>
      <c r="AE395" s="57"/>
      <c r="AF395" s="57"/>
      <c r="AG395" s="57"/>
      <c r="AH395" s="57"/>
      <c r="AI395" s="57"/>
      <c r="AJ395" s="57"/>
    </row>
    <row r="396" spans="1:36" x14ac:dyDescent="0.25">
      <c r="A396" s="57"/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  <c r="AA396" s="57"/>
      <c r="AB396" s="57"/>
      <c r="AC396" s="57"/>
      <c r="AD396" s="57"/>
      <c r="AE396" s="57"/>
      <c r="AF396" s="57"/>
      <c r="AG396" s="57"/>
      <c r="AH396" s="57"/>
      <c r="AI396" s="57"/>
      <c r="AJ396" s="57"/>
    </row>
    <row r="397" spans="1:36" x14ac:dyDescent="0.25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  <c r="AA397" s="57"/>
      <c r="AB397" s="57"/>
      <c r="AC397" s="57"/>
      <c r="AD397" s="57"/>
      <c r="AE397" s="57"/>
      <c r="AF397" s="57"/>
      <c r="AG397" s="57"/>
      <c r="AH397" s="57"/>
      <c r="AI397" s="57"/>
      <c r="AJ397" s="57"/>
    </row>
    <row r="398" spans="1:36" x14ac:dyDescent="0.25">
      <c r="A398" s="57"/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  <c r="AA398" s="57"/>
      <c r="AB398" s="57"/>
      <c r="AC398" s="57"/>
      <c r="AD398" s="57"/>
      <c r="AE398" s="57"/>
      <c r="AF398" s="57"/>
      <c r="AG398" s="57"/>
      <c r="AH398" s="57"/>
      <c r="AI398" s="57"/>
      <c r="AJ398" s="57"/>
    </row>
    <row r="399" spans="1:36" x14ac:dyDescent="0.25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  <c r="AA399" s="57"/>
      <c r="AB399" s="57"/>
      <c r="AC399" s="57"/>
      <c r="AD399" s="57"/>
      <c r="AE399" s="57"/>
      <c r="AF399" s="57"/>
      <c r="AG399" s="57"/>
      <c r="AH399" s="57"/>
      <c r="AI399" s="57"/>
      <c r="AJ399" s="57"/>
    </row>
    <row r="400" spans="1:36" x14ac:dyDescent="0.25">
      <c r="A400" s="57"/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  <c r="AA400" s="57"/>
      <c r="AB400" s="57"/>
      <c r="AC400" s="57"/>
      <c r="AD400" s="57"/>
      <c r="AE400" s="57"/>
      <c r="AF400" s="57"/>
      <c r="AG400" s="57"/>
      <c r="AH400" s="57"/>
      <c r="AI400" s="57"/>
      <c r="AJ400" s="57"/>
    </row>
    <row r="401" spans="1:36" x14ac:dyDescent="0.25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</row>
    <row r="402" spans="1:36" x14ac:dyDescent="0.25">
      <c r="A402" s="57"/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A402" s="57"/>
      <c r="AB402" s="57"/>
      <c r="AC402" s="57"/>
      <c r="AD402" s="57"/>
      <c r="AE402" s="57"/>
      <c r="AF402" s="57"/>
      <c r="AG402" s="57"/>
      <c r="AH402" s="57"/>
      <c r="AI402" s="57"/>
      <c r="AJ402" s="57"/>
    </row>
    <row r="403" spans="1:36" x14ac:dyDescent="0.25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  <c r="AA403" s="57"/>
      <c r="AB403" s="57"/>
      <c r="AC403" s="57"/>
      <c r="AD403" s="57"/>
      <c r="AE403" s="57"/>
      <c r="AF403" s="57"/>
      <c r="AG403" s="57"/>
      <c r="AH403" s="57"/>
      <c r="AI403" s="57"/>
      <c r="AJ403" s="57"/>
    </row>
    <row r="404" spans="1:36" x14ac:dyDescent="0.25">
      <c r="A404" s="57"/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  <c r="AA404" s="57"/>
      <c r="AB404" s="57"/>
      <c r="AC404" s="57"/>
      <c r="AD404" s="57"/>
      <c r="AE404" s="57"/>
      <c r="AF404" s="57"/>
      <c r="AG404" s="57"/>
      <c r="AH404" s="57"/>
      <c r="AI404" s="57"/>
      <c r="AJ404" s="57"/>
    </row>
    <row r="405" spans="1:36" x14ac:dyDescent="0.25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  <c r="AA405" s="57"/>
      <c r="AB405" s="57"/>
      <c r="AC405" s="57"/>
      <c r="AD405" s="57"/>
      <c r="AE405" s="57"/>
      <c r="AF405" s="57"/>
      <c r="AG405" s="57"/>
      <c r="AH405" s="57"/>
      <c r="AI405" s="57"/>
      <c r="AJ405" s="57"/>
    </row>
    <row r="406" spans="1:36" x14ac:dyDescent="0.25">
      <c r="A406" s="57"/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  <c r="AA406" s="57"/>
      <c r="AB406" s="57"/>
      <c r="AC406" s="57"/>
      <c r="AD406" s="57"/>
      <c r="AE406" s="57"/>
      <c r="AF406" s="57"/>
      <c r="AG406" s="57"/>
      <c r="AH406" s="57"/>
      <c r="AI406" s="57"/>
      <c r="AJ406" s="57"/>
    </row>
    <row r="407" spans="1:36" x14ac:dyDescent="0.25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  <c r="AA407" s="57"/>
      <c r="AB407" s="57"/>
      <c r="AC407" s="57"/>
      <c r="AD407" s="57"/>
      <c r="AE407" s="57"/>
      <c r="AF407" s="57"/>
      <c r="AG407" s="57"/>
      <c r="AH407" s="57"/>
      <c r="AI407" s="57"/>
      <c r="AJ407" s="57"/>
    </row>
    <row r="408" spans="1:36" x14ac:dyDescent="0.25">
      <c r="A408" s="57"/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  <c r="AA408" s="57"/>
      <c r="AB408" s="57"/>
      <c r="AC408" s="57"/>
      <c r="AD408" s="57"/>
      <c r="AE408" s="57"/>
      <c r="AF408" s="57"/>
      <c r="AG408" s="57"/>
      <c r="AH408" s="57"/>
      <c r="AI408" s="57"/>
      <c r="AJ408" s="57"/>
    </row>
    <row r="409" spans="1:36" x14ac:dyDescent="0.25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  <c r="AA409" s="57"/>
      <c r="AB409" s="57"/>
      <c r="AC409" s="57"/>
      <c r="AD409" s="57"/>
      <c r="AE409" s="57"/>
      <c r="AF409" s="57"/>
      <c r="AG409" s="57"/>
      <c r="AH409" s="57"/>
      <c r="AI409" s="57"/>
      <c r="AJ409" s="57"/>
    </row>
    <row r="410" spans="1:36" x14ac:dyDescent="0.25">
      <c r="A410" s="57"/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  <c r="AA410" s="57"/>
      <c r="AB410" s="57"/>
      <c r="AC410" s="57"/>
      <c r="AD410" s="57"/>
      <c r="AE410" s="57"/>
      <c r="AF410" s="57"/>
      <c r="AG410" s="57"/>
      <c r="AH410" s="57"/>
      <c r="AI410" s="57"/>
      <c r="AJ410" s="57"/>
    </row>
    <row r="411" spans="1:36" x14ac:dyDescent="0.25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  <c r="AA411" s="57"/>
      <c r="AB411" s="57"/>
      <c r="AC411" s="57"/>
      <c r="AD411" s="57"/>
      <c r="AE411" s="57"/>
      <c r="AF411" s="57"/>
      <c r="AG411" s="57"/>
      <c r="AH411" s="57"/>
      <c r="AI411" s="57"/>
      <c r="AJ411" s="57"/>
    </row>
    <row r="412" spans="1:36" x14ac:dyDescent="0.25">
      <c r="A412" s="57"/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  <c r="AA412" s="57"/>
      <c r="AB412" s="57"/>
      <c r="AC412" s="57"/>
      <c r="AD412" s="57"/>
      <c r="AE412" s="57"/>
      <c r="AF412" s="57"/>
      <c r="AG412" s="57"/>
      <c r="AH412" s="57"/>
      <c r="AI412" s="57"/>
      <c r="AJ412" s="57"/>
    </row>
    <row r="413" spans="1:36" x14ac:dyDescent="0.25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  <c r="AA413" s="57"/>
      <c r="AB413" s="57"/>
      <c r="AC413" s="57"/>
      <c r="AD413" s="57"/>
      <c r="AE413" s="57"/>
      <c r="AF413" s="57"/>
      <c r="AG413" s="57"/>
      <c r="AH413" s="57"/>
      <c r="AI413" s="57"/>
      <c r="AJ413" s="57"/>
    </row>
    <row r="414" spans="1:36" x14ac:dyDescent="0.25">
      <c r="A414" s="57"/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  <c r="AA414" s="57"/>
      <c r="AB414" s="57"/>
      <c r="AC414" s="57"/>
      <c r="AD414" s="57"/>
      <c r="AE414" s="57"/>
      <c r="AF414" s="57"/>
      <c r="AG414" s="57"/>
      <c r="AH414" s="57"/>
      <c r="AI414" s="57"/>
      <c r="AJ414" s="57"/>
    </row>
    <row r="415" spans="1:36" x14ac:dyDescent="0.25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  <c r="AA415" s="57"/>
      <c r="AB415" s="57"/>
      <c r="AC415" s="57"/>
      <c r="AD415" s="57"/>
      <c r="AE415" s="57"/>
      <c r="AF415" s="57"/>
      <c r="AG415" s="57"/>
      <c r="AH415" s="57"/>
      <c r="AI415" s="57"/>
      <c r="AJ415" s="57"/>
    </row>
    <row r="416" spans="1:36" x14ac:dyDescent="0.25">
      <c r="A416" s="57"/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  <c r="AA416" s="57"/>
      <c r="AB416" s="57"/>
      <c r="AC416" s="57"/>
      <c r="AD416" s="57"/>
      <c r="AE416" s="57"/>
      <c r="AF416" s="57"/>
      <c r="AG416" s="57"/>
      <c r="AH416" s="57"/>
      <c r="AI416" s="57"/>
      <c r="AJ416" s="57"/>
    </row>
    <row r="417" spans="1:36" x14ac:dyDescent="0.25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  <c r="AA417" s="57"/>
      <c r="AB417" s="57"/>
      <c r="AC417" s="57"/>
      <c r="AD417" s="57"/>
      <c r="AE417" s="57"/>
      <c r="AF417" s="57"/>
      <c r="AG417" s="57"/>
      <c r="AH417" s="57"/>
      <c r="AI417" s="57"/>
      <c r="AJ417" s="57"/>
    </row>
    <row r="418" spans="1:36" x14ac:dyDescent="0.25">
      <c r="A418" s="57"/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  <c r="AA418" s="57"/>
      <c r="AB418" s="57"/>
      <c r="AC418" s="57"/>
      <c r="AD418" s="57"/>
      <c r="AE418" s="57"/>
      <c r="AF418" s="57"/>
      <c r="AG418" s="57"/>
      <c r="AH418" s="57"/>
      <c r="AI418" s="57"/>
      <c r="AJ418" s="57"/>
    </row>
    <row r="419" spans="1:36" x14ac:dyDescent="0.25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  <c r="AA419" s="57"/>
      <c r="AB419" s="57"/>
      <c r="AC419" s="57"/>
      <c r="AD419" s="57"/>
      <c r="AE419" s="57"/>
      <c r="AF419" s="57"/>
      <c r="AG419" s="57"/>
      <c r="AH419" s="57"/>
      <c r="AI419" s="57"/>
      <c r="AJ419" s="57"/>
    </row>
    <row r="420" spans="1:36" x14ac:dyDescent="0.25">
      <c r="A420" s="57"/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  <c r="AA420" s="57"/>
      <c r="AB420" s="57"/>
      <c r="AC420" s="57"/>
      <c r="AD420" s="57"/>
      <c r="AE420" s="57"/>
      <c r="AF420" s="57"/>
      <c r="AG420" s="57"/>
      <c r="AH420" s="57"/>
      <c r="AI420" s="57"/>
      <c r="AJ420" s="57"/>
    </row>
    <row r="421" spans="1:36" x14ac:dyDescent="0.25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  <c r="AA421" s="57"/>
      <c r="AB421" s="57"/>
      <c r="AC421" s="57"/>
      <c r="AD421" s="57"/>
      <c r="AE421" s="57"/>
      <c r="AF421" s="57"/>
      <c r="AG421" s="57"/>
      <c r="AH421" s="57"/>
      <c r="AI421" s="57"/>
      <c r="AJ421" s="57"/>
    </row>
    <row r="422" spans="1:36" x14ac:dyDescent="0.25">
      <c r="A422" s="57"/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  <c r="AA422" s="57"/>
      <c r="AB422" s="57"/>
      <c r="AC422" s="57"/>
      <c r="AD422" s="57"/>
      <c r="AE422" s="57"/>
      <c r="AF422" s="57"/>
      <c r="AG422" s="57"/>
      <c r="AH422" s="57"/>
      <c r="AI422" s="57"/>
      <c r="AJ422" s="57"/>
    </row>
    <row r="423" spans="1:36" x14ac:dyDescent="0.25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  <c r="AA423" s="57"/>
      <c r="AB423" s="57"/>
      <c r="AC423" s="57"/>
      <c r="AD423" s="57"/>
      <c r="AE423" s="57"/>
      <c r="AF423" s="57"/>
      <c r="AG423" s="57"/>
      <c r="AH423" s="57"/>
      <c r="AI423" s="57"/>
      <c r="AJ423" s="57"/>
    </row>
    <row r="424" spans="1:36" x14ac:dyDescent="0.25">
      <c r="A424" s="57"/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  <c r="AA424" s="57"/>
      <c r="AB424" s="57"/>
      <c r="AC424" s="57"/>
      <c r="AD424" s="57"/>
      <c r="AE424" s="57"/>
      <c r="AF424" s="57"/>
      <c r="AG424" s="57"/>
      <c r="AH424" s="57"/>
      <c r="AI424" s="57"/>
      <c r="AJ424" s="57"/>
    </row>
    <row r="425" spans="1:36" x14ac:dyDescent="0.25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  <c r="AA425" s="57"/>
      <c r="AB425" s="57"/>
      <c r="AC425" s="57"/>
      <c r="AD425" s="57"/>
      <c r="AE425" s="57"/>
      <c r="AF425" s="57"/>
      <c r="AG425" s="57"/>
      <c r="AH425" s="57"/>
      <c r="AI425" s="57"/>
      <c r="AJ425" s="57"/>
    </row>
    <row r="426" spans="1:36" x14ac:dyDescent="0.25">
      <c r="A426" s="57"/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  <c r="AA426" s="57"/>
      <c r="AB426" s="57"/>
      <c r="AC426" s="57"/>
      <c r="AD426" s="57"/>
      <c r="AE426" s="57"/>
      <c r="AF426" s="57"/>
      <c r="AG426" s="57"/>
      <c r="AH426" s="57"/>
      <c r="AI426" s="57"/>
      <c r="AJ426" s="57"/>
    </row>
    <row r="427" spans="1:36" x14ac:dyDescent="0.25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  <c r="AA427" s="57"/>
      <c r="AB427" s="57"/>
      <c r="AC427" s="57"/>
      <c r="AD427" s="57"/>
      <c r="AE427" s="57"/>
      <c r="AF427" s="57"/>
      <c r="AG427" s="57"/>
      <c r="AH427" s="57"/>
      <c r="AI427" s="57"/>
      <c r="AJ427" s="57"/>
    </row>
    <row r="428" spans="1:36" x14ac:dyDescent="0.25">
      <c r="A428" s="57"/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  <c r="AA428" s="57"/>
      <c r="AB428" s="57"/>
      <c r="AC428" s="57"/>
      <c r="AD428" s="57"/>
      <c r="AE428" s="57"/>
      <c r="AF428" s="57"/>
      <c r="AG428" s="57"/>
      <c r="AH428" s="57"/>
      <c r="AI428" s="57"/>
      <c r="AJ428" s="57"/>
    </row>
    <row r="429" spans="1:36" x14ac:dyDescent="0.25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  <c r="AA429" s="57"/>
      <c r="AB429" s="57"/>
      <c r="AC429" s="57"/>
      <c r="AD429" s="57"/>
      <c r="AE429" s="57"/>
      <c r="AF429" s="57"/>
      <c r="AG429" s="57"/>
      <c r="AH429" s="57"/>
      <c r="AI429" s="57"/>
      <c r="AJ429" s="57"/>
    </row>
    <row r="430" spans="1:36" x14ac:dyDescent="0.25">
      <c r="A430" s="57"/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  <c r="AA430" s="57"/>
      <c r="AB430" s="57"/>
      <c r="AC430" s="57"/>
      <c r="AD430" s="57"/>
      <c r="AE430" s="57"/>
      <c r="AF430" s="57"/>
      <c r="AG430" s="57"/>
      <c r="AH430" s="57"/>
      <c r="AI430" s="57"/>
      <c r="AJ430" s="57"/>
    </row>
    <row r="431" spans="1:36" x14ac:dyDescent="0.25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  <c r="AA431" s="57"/>
      <c r="AB431" s="57"/>
      <c r="AC431" s="57"/>
      <c r="AD431" s="57"/>
      <c r="AE431" s="57"/>
      <c r="AF431" s="57"/>
      <c r="AG431" s="57"/>
      <c r="AH431" s="57"/>
      <c r="AI431" s="57"/>
      <c r="AJ431" s="57"/>
    </row>
    <row r="432" spans="1:36" x14ac:dyDescent="0.25">
      <c r="A432" s="57"/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  <c r="AA432" s="57"/>
      <c r="AB432" s="57"/>
      <c r="AC432" s="57"/>
      <c r="AD432" s="57"/>
      <c r="AE432" s="57"/>
      <c r="AF432" s="57"/>
      <c r="AG432" s="57"/>
      <c r="AH432" s="57"/>
      <c r="AI432" s="57"/>
      <c r="AJ432" s="57"/>
    </row>
    <row r="433" spans="1:36" x14ac:dyDescent="0.25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  <c r="AA433" s="57"/>
      <c r="AB433" s="57"/>
      <c r="AC433" s="57"/>
      <c r="AD433" s="57"/>
      <c r="AE433" s="57"/>
      <c r="AF433" s="57"/>
      <c r="AG433" s="57"/>
      <c r="AH433" s="57"/>
      <c r="AI433" s="57"/>
      <c r="AJ433" s="57"/>
    </row>
    <row r="434" spans="1:36" x14ac:dyDescent="0.25">
      <c r="A434" s="57"/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  <c r="AA434" s="57"/>
      <c r="AB434" s="57"/>
      <c r="AC434" s="57"/>
      <c r="AD434" s="57"/>
      <c r="AE434" s="57"/>
      <c r="AF434" s="57"/>
      <c r="AG434" s="57"/>
      <c r="AH434" s="57"/>
      <c r="AI434" s="57"/>
      <c r="AJ434" s="57"/>
    </row>
    <row r="435" spans="1:36" x14ac:dyDescent="0.25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  <c r="AA435" s="57"/>
      <c r="AB435" s="57"/>
      <c r="AC435" s="57"/>
      <c r="AD435" s="57"/>
      <c r="AE435" s="57"/>
      <c r="AF435" s="57"/>
      <c r="AG435" s="57"/>
      <c r="AH435" s="57"/>
      <c r="AI435" s="57"/>
      <c r="AJ435" s="57"/>
    </row>
    <row r="436" spans="1:36" x14ac:dyDescent="0.25">
      <c r="A436" s="57"/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  <c r="AA436" s="57"/>
      <c r="AB436" s="57"/>
      <c r="AC436" s="57"/>
      <c r="AD436" s="57"/>
      <c r="AE436" s="57"/>
      <c r="AF436" s="57"/>
      <c r="AG436" s="57"/>
      <c r="AH436" s="57"/>
      <c r="AI436" s="57"/>
      <c r="AJ436" s="57"/>
    </row>
    <row r="437" spans="1:36" x14ac:dyDescent="0.25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  <c r="AA437" s="57"/>
      <c r="AB437" s="57"/>
      <c r="AC437" s="57"/>
      <c r="AD437" s="57"/>
      <c r="AE437" s="57"/>
      <c r="AF437" s="57"/>
      <c r="AG437" s="57"/>
      <c r="AH437" s="57"/>
      <c r="AI437" s="57"/>
      <c r="AJ437" s="57"/>
    </row>
    <row r="438" spans="1:36" x14ac:dyDescent="0.25">
      <c r="A438" s="57"/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  <c r="AA438" s="57"/>
      <c r="AB438" s="57"/>
      <c r="AC438" s="57"/>
      <c r="AD438" s="57"/>
      <c r="AE438" s="57"/>
      <c r="AF438" s="57"/>
      <c r="AG438" s="57"/>
      <c r="AH438" s="57"/>
      <c r="AI438" s="57"/>
      <c r="AJ438" s="57"/>
    </row>
    <row r="439" spans="1:36" x14ac:dyDescent="0.25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  <c r="AA439" s="57"/>
      <c r="AB439" s="57"/>
      <c r="AC439" s="57"/>
      <c r="AD439" s="57"/>
      <c r="AE439" s="57"/>
      <c r="AF439" s="57"/>
      <c r="AG439" s="57"/>
      <c r="AH439" s="57"/>
      <c r="AI439" s="57"/>
      <c r="AJ439" s="57"/>
    </row>
    <row r="440" spans="1:36" x14ac:dyDescent="0.25">
      <c r="A440" s="57"/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  <c r="AA440" s="57"/>
      <c r="AB440" s="57"/>
      <c r="AC440" s="57"/>
      <c r="AD440" s="57"/>
      <c r="AE440" s="57"/>
      <c r="AF440" s="57"/>
      <c r="AG440" s="57"/>
      <c r="AH440" s="57"/>
      <c r="AI440" s="57"/>
      <c r="AJ440" s="57"/>
    </row>
    <row r="441" spans="1:36" x14ac:dyDescent="0.25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  <c r="AA441" s="57"/>
      <c r="AB441" s="57"/>
      <c r="AC441" s="57"/>
      <c r="AD441" s="57"/>
      <c r="AE441" s="57"/>
      <c r="AF441" s="57"/>
      <c r="AG441" s="57"/>
      <c r="AH441" s="57"/>
      <c r="AI441" s="57"/>
      <c r="AJ441" s="57"/>
    </row>
    <row r="442" spans="1:36" x14ac:dyDescent="0.25">
      <c r="A442" s="57"/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A442" s="57"/>
      <c r="AB442" s="57"/>
      <c r="AC442" s="57"/>
      <c r="AD442" s="57"/>
      <c r="AE442" s="57"/>
      <c r="AF442" s="57"/>
      <c r="AG442" s="57"/>
      <c r="AH442" s="57"/>
      <c r="AI442" s="57"/>
      <c r="AJ442" s="57"/>
    </row>
    <row r="443" spans="1:36" x14ac:dyDescent="0.25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  <c r="AA443" s="57"/>
      <c r="AB443" s="57"/>
      <c r="AC443" s="57"/>
      <c r="AD443" s="57"/>
      <c r="AE443" s="57"/>
      <c r="AF443" s="57"/>
      <c r="AG443" s="57"/>
      <c r="AH443" s="57"/>
      <c r="AI443" s="57"/>
      <c r="AJ443" s="57"/>
    </row>
    <row r="444" spans="1:36" x14ac:dyDescent="0.25">
      <c r="A444" s="57"/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  <c r="AA444" s="57"/>
      <c r="AB444" s="57"/>
      <c r="AC444" s="57"/>
      <c r="AD444" s="57"/>
      <c r="AE444" s="57"/>
      <c r="AF444" s="57"/>
      <c r="AG444" s="57"/>
      <c r="AH444" s="57"/>
      <c r="AI444" s="57"/>
      <c r="AJ444" s="57"/>
    </row>
    <row r="445" spans="1:36" x14ac:dyDescent="0.25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  <c r="AA445" s="57"/>
      <c r="AB445" s="57"/>
      <c r="AC445" s="57"/>
      <c r="AD445" s="57"/>
      <c r="AE445" s="57"/>
      <c r="AF445" s="57"/>
      <c r="AG445" s="57"/>
      <c r="AH445" s="57"/>
      <c r="AI445" s="57"/>
      <c r="AJ445" s="57"/>
    </row>
    <row r="446" spans="1:36" x14ac:dyDescent="0.25">
      <c r="A446" s="57"/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  <c r="AA446" s="57"/>
      <c r="AB446" s="57"/>
      <c r="AC446" s="57"/>
      <c r="AD446" s="57"/>
      <c r="AE446" s="57"/>
      <c r="AF446" s="57"/>
      <c r="AG446" s="57"/>
      <c r="AH446" s="57"/>
      <c r="AI446" s="57"/>
      <c r="AJ446" s="57"/>
    </row>
    <row r="447" spans="1:36" x14ac:dyDescent="0.25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  <c r="AA447" s="57"/>
      <c r="AB447" s="57"/>
      <c r="AC447" s="57"/>
      <c r="AD447" s="57"/>
      <c r="AE447" s="57"/>
      <c r="AF447" s="57"/>
      <c r="AG447" s="57"/>
      <c r="AH447" s="57"/>
      <c r="AI447" s="57"/>
      <c r="AJ447" s="57"/>
    </row>
    <row r="448" spans="1:36" x14ac:dyDescent="0.25">
      <c r="A448" s="57"/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  <c r="AA448" s="57"/>
      <c r="AB448" s="57"/>
      <c r="AC448" s="57"/>
      <c r="AD448" s="57"/>
      <c r="AE448" s="57"/>
      <c r="AF448" s="57"/>
      <c r="AG448" s="57"/>
      <c r="AH448" s="57"/>
      <c r="AI448" s="57"/>
      <c r="AJ448" s="57"/>
    </row>
    <row r="449" spans="1:36" x14ac:dyDescent="0.25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  <c r="AA449" s="57"/>
      <c r="AB449" s="57"/>
      <c r="AC449" s="57"/>
      <c r="AD449" s="57"/>
      <c r="AE449" s="57"/>
      <c r="AF449" s="57"/>
      <c r="AG449" s="57"/>
      <c r="AH449" s="57"/>
      <c r="AI449" s="57"/>
      <c r="AJ449" s="57"/>
    </row>
    <row r="450" spans="1:36" x14ac:dyDescent="0.25">
      <c r="A450" s="57"/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  <c r="AA450" s="57"/>
      <c r="AB450" s="57"/>
      <c r="AC450" s="57"/>
      <c r="AD450" s="57"/>
      <c r="AE450" s="57"/>
      <c r="AF450" s="57"/>
      <c r="AG450" s="57"/>
      <c r="AH450" s="57"/>
      <c r="AI450" s="57"/>
      <c r="AJ450" s="57"/>
    </row>
    <row r="451" spans="1:36" x14ac:dyDescent="0.25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  <c r="AA451" s="57"/>
      <c r="AB451" s="57"/>
      <c r="AC451" s="57"/>
      <c r="AD451" s="57"/>
      <c r="AE451" s="57"/>
      <c r="AF451" s="57"/>
      <c r="AG451" s="57"/>
      <c r="AH451" s="57"/>
      <c r="AI451" s="57"/>
      <c r="AJ451" s="57"/>
    </row>
    <row r="452" spans="1:36" x14ac:dyDescent="0.25">
      <c r="A452" s="57"/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  <c r="AA452" s="57"/>
      <c r="AB452" s="57"/>
      <c r="AC452" s="57"/>
      <c r="AD452" s="57"/>
      <c r="AE452" s="57"/>
      <c r="AF452" s="57"/>
      <c r="AG452" s="57"/>
      <c r="AH452" s="57"/>
      <c r="AI452" s="57"/>
      <c r="AJ452" s="57"/>
    </row>
    <row r="453" spans="1:36" x14ac:dyDescent="0.25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  <c r="AA453" s="57"/>
      <c r="AB453" s="57"/>
      <c r="AC453" s="57"/>
      <c r="AD453" s="57"/>
      <c r="AE453" s="57"/>
      <c r="AF453" s="57"/>
      <c r="AG453" s="57"/>
      <c r="AH453" s="57"/>
      <c r="AI453" s="57"/>
      <c r="AJ453" s="57"/>
    </row>
    <row r="454" spans="1:36" x14ac:dyDescent="0.25">
      <c r="A454" s="57"/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  <c r="AA454" s="57"/>
      <c r="AB454" s="57"/>
      <c r="AC454" s="57"/>
      <c r="AD454" s="57"/>
      <c r="AE454" s="57"/>
      <c r="AF454" s="57"/>
      <c r="AG454" s="57"/>
      <c r="AH454" s="57"/>
      <c r="AI454" s="57"/>
      <c r="AJ454" s="57"/>
    </row>
    <row r="455" spans="1:36" x14ac:dyDescent="0.25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  <c r="AA455" s="57"/>
      <c r="AB455" s="57"/>
      <c r="AC455" s="57"/>
      <c r="AD455" s="57"/>
      <c r="AE455" s="57"/>
      <c r="AF455" s="57"/>
      <c r="AG455" s="57"/>
      <c r="AH455" s="57"/>
      <c r="AI455" s="57"/>
      <c r="AJ455" s="57"/>
    </row>
    <row r="456" spans="1:36" x14ac:dyDescent="0.25">
      <c r="A456" s="57"/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  <c r="AA456" s="57"/>
      <c r="AB456" s="57"/>
      <c r="AC456" s="57"/>
      <c r="AD456" s="57"/>
      <c r="AE456" s="57"/>
      <c r="AF456" s="57"/>
      <c r="AG456" s="57"/>
      <c r="AH456" s="57"/>
      <c r="AI456" s="57"/>
      <c r="AJ456" s="57"/>
    </row>
    <row r="457" spans="1:36" x14ac:dyDescent="0.25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  <c r="AA457" s="57"/>
      <c r="AB457" s="57"/>
      <c r="AC457" s="57"/>
      <c r="AD457" s="57"/>
      <c r="AE457" s="57"/>
      <c r="AF457" s="57"/>
      <c r="AG457" s="57"/>
      <c r="AH457" s="57"/>
      <c r="AI457" s="57"/>
      <c r="AJ457" s="57"/>
    </row>
    <row r="458" spans="1:36" x14ac:dyDescent="0.25">
      <c r="A458" s="57"/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  <c r="AA458" s="57"/>
      <c r="AB458" s="57"/>
      <c r="AC458" s="57"/>
      <c r="AD458" s="57"/>
      <c r="AE458" s="57"/>
      <c r="AF458" s="57"/>
      <c r="AG458" s="57"/>
      <c r="AH458" s="57"/>
      <c r="AI458" s="57"/>
      <c r="AJ458" s="57"/>
    </row>
    <row r="459" spans="1:36" x14ac:dyDescent="0.25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</row>
    <row r="460" spans="1:36" x14ac:dyDescent="0.25">
      <c r="A460" s="57"/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  <c r="AA460" s="57"/>
      <c r="AB460" s="57"/>
      <c r="AC460" s="57"/>
      <c r="AD460" s="57"/>
      <c r="AE460" s="57"/>
      <c r="AF460" s="57"/>
      <c r="AG460" s="57"/>
      <c r="AH460" s="57"/>
      <c r="AI460" s="57"/>
      <c r="AJ460" s="57"/>
    </row>
    <row r="461" spans="1:36" x14ac:dyDescent="0.25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  <c r="AA461" s="57"/>
      <c r="AB461" s="57"/>
      <c r="AC461" s="57"/>
      <c r="AD461" s="57"/>
      <c r="AE461" s="57"/>
      <c r="AF461" s="57"/>
      <c r="AG461" s="57"/>
      <c r="AH461" s="57"/>
      <c r="AI461" s="57"/>
      <c r="AJ461" s="57"/>
    </row>
    <row r="462" spans="1:36" x14ac:dyDescent="0.25">
      <c r="A462" s="57"/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  <c r="AA462" s="57"/>
      <c r="AB462" s="57"/>
      <c r="AC462" s="57"/>
      <c r="AD462" s="57"/>
      <c r="AE462" s="57"/>
      <c r="AF462" s="57"/>
      <c r="AG462" s="57"/>
      <c r="AH462" s="57"/>
      <c r="AI462" s="57"/>
      <c r="AJ462" s="57"/>
    </row>
    <row r="463" spans="1:36" x14ac:dyDescent="0.25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  <c r="AA463" s="57"/>
      <c r="AB463" s="57"/>
      <c r="AC463" s="57"/>
      <c r="AD463" s="57"/>
      <c r="AE463" s="57"/>
      <c r="AF463" s="57"/>
      <c r="AG463" s="57"/>
      <c r="AH463" s="57"/>
      <c r="AI463" s="57"/>
      <c r="AJ463" s="57"/>
    </row>
    <row r="464" spans="1:36" x14ac:dyDescent="0.25">
      <c r="A464" s="57"/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  <c r="AA464" s="57"/>
      <c r="AB464" s="57"/>
      <c r="AC464" s="57"/>
      <c r="AD464" s="57"/>
      <c r="AE464" s="57"/>
      <c r="AF464" s="57"/>
      <c r="AG464" s="57"/>
      <c r="AH464" s="57"/>
      <c r="AI464" s="57"/>
      <c r="AJ464" s="57"/>
    </row>
    <row r="465" spans="1:36" x14ac:dyDescent="0.25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  <c r="AA465" s="57"/>
      <c r="AB465" s="57"/>
      <c r="AC465" s="57"/>
      <c r="AD465" s="57"/>
      <c r="AE465" s="57"/>
      <c r="AF465" s="57"/>
      <c r="AG465" s="57"/>
      <c r="AH465" s="57"/>
      <c r="AI465" s="57"/>
      <c r="AJ465" s="57"/>
    </row>
    <row r="466" spans="1:36" x14ac:dyDescent="0.25">
      <c r="A466" s="57"/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  <c r="AA466" s="57"/>
      <c r="AB466" s="57"/>
      <c r="AC466" s="57"/>
      <c r="AD466" s="57"/>
      <c r="AE466" s="57"/>
      <c r="AF466" s="57"/>
      <c r="AG466" s="57"/>
      <c r="AH466" s="57"/>
      <c r="AI466" s="57"/>
      <c r="AJ466" s="57"/>
    </row>
    <row r="467" spans="1:36" x14ac:dyDescent="0.25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</row>
    <row r="468" spans="1:36" x14ac:dyDescent="0.25">
      <c r="A468" s="57"/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</row>
    <row r="469" spans="1:36" x14ac:dyDescent="0.25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</row>
    <row r="470" spans="1:36" x14ac:dyDescent="0.25">
      <c r="A470" s="57"/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</row>
    <row r="471" spans="1:36" x14ac:dyDescent="0.25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</row>
    <row r="472" spans="1:36" x14ac:dyDescent="0.25">
      <c r="A472" s="57"/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  <c r="AA472" s="57"/>
      <c r="AB472" s="57"/>
      <c r="AC472" s="57"/>
      <c r="AD472" s="57"/>
      <c r="AE472" s="57"/>
      <c r="AF472" s="57"/>
      <c r="AG472" s="57"/>
      <c r="AH472" s="57"/>
      <c r="AI472" s="57"/>
      <c r="AJ472" s="57"/>
    </row>
    <row r="473" spans="1:36" x14ac:dyDescent="0.25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</row>
    <row r="474" spans="1:36" x14ac:dyDescent="0.25">
      <c r="A474" s="57"/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</row>
    <row r="475" spans="1:36" x14ac:dyDescent="0.25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</row>
    <row r="476" spans="1:36" x14ac:dyDescent="0.25">
      <c r="A476" s="57"/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/>
      <c r="AG476" s="57"/>
      <c r="AH476" s="57"/>
      <c r="AI476" s="57"/>
      <c r="AJ476" s="57"/>
    </row>
    <row r="477" spans="1:36" x14ac:dyDescent="0.25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</row>
    <row r="478" spans="1:36" x14ac:dyDescent="0.25">
      <c r="A478" s="57"/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F478" s="57"/>
      <c r="AG478" s="57"/>
      <c r="AH478" s="57"/>
      <c r="AI478" s="57"/>
      <c r="AJ478" s="57"/>
    </row>
    <row r="479" spans="1:36" x14ac:dyDescent="0.25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</row>
    <row r="480" spans="1:36" x14ac:dyDescent="0.25">
      <c r="A480" s="57"/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  <c r="AA480" s="57"/>
      <c r="AB480" s="57"/>
      <c r="AC480" s="57"/>
      <c r="AD480" s="57"/>
      <c r="AE480" s="57"/>
      <c r="AF480" s="57"/>
      <c r="AG480" s="57"/>
      <c r="AH480" s="57"/>
      <c r="AI480" s="57"/>
      <c r="AJ480" s="57"/>
    </row>
    <row r="481" spans="1:36" x14ac:dyDescent="0.25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</row>
    <row r="482" spans="1:36" x14ac:dyDescent="0.25">
      <c r="A482" s="57"/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</row>
    <row r="1048567" spans="2:16" x14ac:dyDescent="0.25">
      <c r="B1048567" s="51"/>
      <c r="C1048567" s="52"/>
      <c r="D1048567" s="51"/>
      <c r="E1048567" s="51"/>
      <c r="F1048567" s="51"/>
      <c r="G1048567" s="51"/>
      <c r="H1048567" s="51"/>
      <c r="I1048567" s="51"/>
      <c r="J1048567" s="51"/>
      <c r="K1048567" s="51"/>
      <c r="L1048567" s="51"/>
      <c r="M1048567" s="51"/>
      <c r="N1048567" s="51"/>
      <c r="O1048567" s="51"/>
      <c r="P1048567" s="51"/>
    </row>
    <row r="1048568" spans="2:16" x14ac:dyDescent="0.25">
      <c r="B1048568" s="53" t="e">
        <f>#REF!</f>
        <v>#REF!</v>
      </c>
      <c r="C1048568" s="53" t="e">
        <f>B1048568</f>
        <v>#REF!</v>
      </c>
      <c r="D1048568" s="52" t="e">
        <f>C1048568+C1048569+#REF!</f>
        <v>#REF!</v>
      </c>
      <c r="E1048568" s="52" t="e">
        <f>D1048568</f>
        <v>#REF!</v>
      </c>
      <c r="F1048568" s="51"/>
      <c r="G1048568" s="51"/>
      <c r="H1048568" s="51"/>
      <c r="I1048568" s="51"/>
      <c r="J1048568" s="51"/>
      <c r="K1048568" s="51"/>
      <c r="L1048568" s="51"/>
      <c r="M1048568" s="51"/>
      <c r="N1048568" s="51"/>
      <c r="O1048568" s="51"/>
      <c r="P1048568" s="51"/>
    </row>
    <row r="1048569" spans="2:16" x14ac:dyDescent="0.25">
      <c r="B1048569" s="54">
        <v>0</v>
      </c>
      <c r="C1048569" s="53" t="e">
        <f>#REF!</f>
        <v>#REF!</v>
      </c>
      <c r="D1048569" s="52" t="e">
        <f>-#REF!</f>
        <v>#REF!</v>
      </c>
      <c r="E1048569" s="52" t="e">
        <f>#REF!</f>
        <v>#REF!</v>
      </c>
      <c r="F1048569" s="52" t="e">
        <f>E1048569+E1048568</f>
        <v>#REF!</v>
      </c>
      <c r="G1048569" s="51"/>
      <c r="H1048569" s="51"/>
      <c r="I1048569" s="51"/>
      <c r="J1048569" s="51"/>
      <c r="K1048569" s="51"/>
      <c r="L1048569" s="51"/>
      <c r="M1048569" s="51"/>
      <c r="N1048569" s="51"/>
      <c r="O1048569" s="51"/>
      <c r="P1048569" s="51"/>
    </row>
    <row r="1048570" spans="2:16" x14ac:dyDescent="0.25">
      <c r="B1048570" s="51"/>
      <c r="C1048570" s="51"/>
      <c r="D1048570" s="51"/>
      <c r="E1048570" s="51"/>
      <c r="F1048570" s="51"/>
      <c r="G1048570" s="51"/>
      <c r="H1048570" s="51"/>
      <c r="I1048570" s="51"/>
      <c r="J1048570" s="51"/>
      <c r="K1048570" s="51"/>
      <c r="L1048570" s="51"/>
      <c r="M1048570" s="51"/>
      <c r="N1048570" s="51"/>
      <c r="O1048570" s="51"/>
      <c r="P1048570" s="51"/>
    </row>
    <row r="1048571" spans="2:16" ht="23" x14ac:dyDescent="0.25">
      <c r="B1048571" s="55" t="s">
        <v>245</v>
      </c>
      <c r="C1048571" s="56" t="s">
        <v>243</v>
      </c>
      <c r="D1048571" s="56" t="e">
        <f>#REF!</f>
        <v>#REF!</v>
      </c>
      <c r="E1048571" s="56" t="s">
        <v>246</v>
      </c>
      <c r="F1048571" s="51" t="s">
        <v>244</v>
      </c>
      <c r="G1048571" s="51"/>
      <c r="H1048571" s="51"/>
      <c r="I1048571" s="51"/>
      <c r="J1048571" s="51"/>
      <c r="K1048571" s="51"/>
      <c r="L1048571" s="51"/>
      <c r="M1048571" s="51"/>
      <c r="N1048571" s="51"/>
      <c r="O1048571" s="51"/>
      <c r="P1048571" s="51"/>
    </row>
    <row r="1048572" spans="2:16" x14ac:dyDescent="0.25">
      <c r="B1048572" s="51"/>
      <c r="C1048572" s="52"/>
    </row>
    <row r="1048573" spans="2:16" x14ac:dyDescent="0.25">
      <c r="B1048573" s="51"/>
      <c r="C1048573" s="52"/>
    </row>
    <row r="1048574" spans="2:16" x14ac:dyDescent="0.25">
      <c r="B1048574" s="51"/>
      <c r="C1048574" s="52"/>
    </row>
    <row r="1048575" spans="2:16" x14ac:dyDescent="0.25">
      <c r="B1048575" s="51"/>
      <c r="C1048575" s="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 --&gt;</vt:lpstr>
      <vt:lpstr>3.1 Column stacked chart</vt:lpstr>
      <vt:lpstr>3.2 Dougnut chart</vt:lpstr>
      <vt:lpstr>3.3 Area &amp; line chart</vt:lpstr>
      <vt:lpstr>3.4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2026-02-13T06:41:23Z</dcterms:modified>
</cp:coreProperties>
</file>